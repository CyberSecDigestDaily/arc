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Build" sheetId="1" r:id="rId1"/>
    <sheet name="Prices by shop" sheetId="2" r:id="rId2"/>
    <sheet name="All offers" sheetId="3" r:id="rId3"/>
    <sheet name="Price history" sheetId="4" r:id="rId4"/>
    <sheet name="Swaps &amp; upgrades" sheetId="5" r:id="rId5"/>
    <sheet name="Fit check" sheetId="6" r:id="rId6"/>
    <sheet name="How it updates" sheetId="7" r:id="rId7"/>
  </sheets>
  <definedNames>
    <definedName name="_xlnm._FilterDatabase" localSheetId="2" hidden="1">'All offers'!$A$4:$K$46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+&quot;£&quot;#,##0.00;-&quot;£&quot;#,##0.00;&quot;£&quot;0.00"/>
    <numFmt numFmtId="165" formatCode="&quot;£&quot;#,##0.00"/>
    <numFmt numFmtId="166" formatCode="&quot;£&quot;#,##0.00;[Red]-&quot;£&quot;#,##0.00;&quot;£&quot;0.00"/>
    <numFmt numFmtId="167" formatCode="d mmm yyyy"/>
    <numFmt numFmtId="168" formatCode="ddd d mmm"/>
  </numFmts>
  <fonts count="19">
    <font>
      <sz val="10"/>
      <color rgb="FF111827"/>
      <name val="Arial"/>
      <family val="2"/>
    </font>
    <font>
      <b/>
      <sz val="16"/>
      <color rgb="FF111827"/>
      <name val="Arial"/>
      <family val="2"/>
    </font>
    <font>
      <sz val="9"/>
      <color rgb="FF6B7280"/>
      <name val="Arial"/>
      <family val="2"/>
    </font>
    <font>
      <b/>
      <sz val="10"/>
      <color rgb="FFFFFFFF"/>
      <name val="Arial"/>
      <family val="2"/>
    </font>
    <font>
      <b/>
      <sz val="12"/>
      <color rgb="FF111827"/>
      <name val="Arial"/>
      <family val="2"/>
    </font>
    <font>
      <b/>
      <sz val="10"/>
      <color rgb="FF111827"/>
      <name val="Arial"/>
      <family val="2"/>
    </font>
    <font>
      <sz val="10"/>
      <color rgb="FF6B7280"/>
      <name val="Arial"/>
      <family val="2"/>
    </font>
    <font>
      <sz val="10"/>
      <color rgb="FF15803D"/>
      <name val="Arial"/>
      <family val="2"/>
    </font>
    <font>
      <sz val="10"/>
      <color rgb="FFB91C1C"/>
      <name val="Arial"/>
      <family val="2"/>
    </font>
    <font>
      <b/>
      <sz val="10"/>
      <color rgb="FF15803D"/>
      <name val="Arial"/>
      <family val="2"/>
    </font>
    <font>
      <b/>
      <sz val="10"/>
      <color rgb="FFB91C1C"/>
      <name val="Arial"/>
      <family val="2"/>
    </font>
    <font>
      <b/>
      <sz val="10"/>
      <color rgb="FF6B7280"/>
      <name val="Arial"/>
      <family val="2"/>
    </font>
    <font>
      <i/>
      <sz val="10"/>
      <color rgb="FF9CA3AF"/>
      <name val="Arial"/>
      <family val="2"/>
    </font>
    <font>
      <b/>
      <sz val="12"/>
      <color rgb="FF1D4ED8"/>
      <name val="Arial"/>
      <family val="2"/>
    </font>
    <font>
      <u/>
      <sz val="10"/>
      <color rgb="FF1D4ED8"/>
      <name val="Arial"/>
      <family val="2"/>
    </font>
    <font>
      <sz val="10"/>
      <color rgb="FFB45309"/>
      <name val="Arial"/>
      <family val="2"/>
    </font>
    <font>
      <b/>
      <sz val="12"/>
      <color rgb="FFB91C1C"/>
      <name val="Arial"/>
      <family val="2"/>
    </font>
    <font>
      <b/>
      <sz val="12"/>
      <color rgb="FF15803D"/>
      <name val="Arial"/>
      <family val="2"/>
    </font>
    <font>
      <b/>
      <sz val="10"/>
      <color rgb="FF1D4ED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9CA3AF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164" fontId="7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164" fontId="9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11" fillId="0" borderId="0" xfId="0" applyNumberFormat="1" applyFont="1" applyAlignment="1">
      <alignment vertical="center"/>
    </xf>
    <xf numFmtId="0" fontId="0" fillId="0" borderId="0" xfId="0" applyAlignment="1">
      <alignment vertical="center" indent="1"/>
    </xf>
    <xf numFmtId="0" fontId="12" fillId="0" borderId="0" xfId="0" applyFont="1" applyAlignment="1">
      <alignment vertical="center"/>
    </xf>
    <xf numFmtId="165" fontId="0" fillId="0" borderId="0" xfId="0" applyNumberFormat="1" applyAlignment="1">
      <alignment vertical="center"/>
    </xf>
    <xf numFmtId="165" fontId="5" fillId="0" borderId="0" xfId="0" applyNumberFormat="1" applyFont="1" applyAlignment="1">
      <alignment vertical="center"/>
    </xf>
    <xf numFmtId="165" fontId="9" fillId="3" borderId="0" xfId="0" applyNumberFormat="1" applyFont="1" applyFill="1" applyAlignment="1">
      <alignment vertical="center"/>
    </xf>
    <xf numFmtId="165" fontId="12" fillId="0" borderId="0" xfId="0" applyNumberFormat="1" applyFont="1" applyAlignment="1">
      <alignment vertical="center"/>
    </xf>
    <xf numFmtId="165" fontId="0" fillId="4" borderId="0" xfId="0" applyNumberFormat="1" applyFill="1" applyAlignment="1">
      <alignment vertical="center"/>
    </xf>
    <xf numFmtId="164" fontId="0" fillId="0" borderId="0" xfId="0" applyNumberFormat="1" applyAlignment="1">
      <alignment vertical="center"/>
    </xf>
    <xf numFmtId="164" fontId="5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165" fontId="13" fillId="0" borderId="0" xfId="0" applyNumberFormat="1" applyFont="1" applyAlignment="1">
      <alignment vertical="center"/>
    </xf>
    <xf numFmtId="167" fontId="0" fillId="0" borderId="0" xfId="0" applyNumberFormat="1" applyAlignment="1">
      <alignment vertical="center"/>
    </xf>
    <xf numFmtId="168" fontId="0" fillId="0" borderId="0" xfId="0" applyNumberFormat="1" applyAlignment="1">
      <alignment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4" borderId="0" xfId="0" applyFill="1" applyAlignment="1">
      <alignment vertical="center"/>
    </xf>
    <xf numFmtId="0" fontId="5" fillId="4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166" fontId="16" fillId="0" borderId="0" xfId="0" applyNumberFormat="1" applyFont="1" applyAlignment="1">
      <alignment vertical="center"/>
    </xf>
    <xf numFmtId="164" fontId="17" fillId="0" borderId="0" xfId="0" applyNumberFormat="1" applyFont="1" applyAlignment="1">
      <alignment vertical="center"/>
    </xf>
    <xf numFmtId="164" fontId="9" fillId="0" borderId="1" xfId="0" applyNumberFormat="1" applyFont="1" applyBorder="1" applyAlignment="1">
      <alignment vertical="center"/>
    </xf>
    <xf numFmtId="165" fontId="18" fillId="0" borderId="0" xfId="0" applyNumberFormat="1" applyFont="1" applyAlignment="1">
      <alignment vertical="center"/>
    </xf>
    <xf numFmtId="166" fontId="9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amazon.co.uk/dp/B0FT8X951Z" TargetMode="External"/><Relationship Id="rId2" Type="http://schemas.openxmlformats.org/officeDocument/2006/relationships/hyperlink" Target="https://www.amazon.co.uk/dp/B0DJZC1C3J" TargetMode="External"/><Relationship Id="rId3" Type="http://schemas.openxmlformats.org/officeDocument/2006/relationships/hyperlink" Target="https://www.amazon.co.uk/dp/B0F4Q45RKX" TargetMode="External"/><Relationship Id="rId4" Type="http://schemas.openxmlformats.org/officeDocument/2006/relationships/hyperlink" Target="https://www.overclockers.co.uk/klevv-fit-v-expo-32gb-2x16gb-6000mhz-c28-ddr5-dual-channel-kit-black/MEM-KLV-07037.html" TargetMode="External"/><Relationship Id="rId5" Type="http://schemas.openxmlformats.org/officeDocument/2006/relationships/hyperlink" Target="https://www.overclockers.co.uk/powercolor-radeon-rx-9070-xt-reaper-16gb-gddr6-pci-express-graphics-card/GRA-PWC-04017.html" TargetMode="External"/><Relationship Id="rId6" Type="http://schemas.openxmlformats.org/officeDocument/2006/relationships/hyperlink" Target="https://www.amazon.co.uk/dp/B0DC8RVRBZ" TargetMode="External"/><Relationship Id="rId7" Type="http://schemas.openxmlformats.org/officeDocument/2006/relationships/hyperlink" Target="https://www.amazon.co.uk/dp/B0DMTL43VR" TargetMode="External"/><Relationship Id="rId8" Type="http://schemas.openxmlformats.org/officeDocument/2006/relationships/hyperlink" Target="https://www.watercoolinguk.co.uk/product/jonsbo-d33-std-pc-case-mini-case-matx-tempered-glass-black/" TargetMode="External"/><Relationship Id="rId9" Type="http://schemas.openxmlformats.org/officeDocument/2006/relationships/hyperlink" Target="https://www.amazon.co.uk/dp/B0G7J2Y686" TargetMode="External"/><Relationship Id="rId10" Type="http://schemas.openxmlformats.org/officeDocument/2006/relationships/hyperlink" Target="https://www.amazon.co.uk/dp/B0FNLNZP9Z" TargetMode="External"/><Relationship Id="rId11" Type="http://schemas.openxmlformats.org/officeDocument/2006/relationships/hyperlink" Target="https://www.amazon.co.uk/dp/B0FNLNT7Q5" TargetMode="External"/><Relationship Id="rId12" Type="http://schemas.openxmlformats.org/officeDocument/2006/relationships/hyperlink" Target="https://www.overclockers.co.uk/kolink-argb-1-3-splitter-cable-30cm/CA-07K-KK.html" TargetMode="External"/><Relationship Id="rId13" Type="http://schemas.openxmlformats.org/officeDocument/2006/relationships/hyperlink" Target="https://www.amazon.co.uk/dp/B0BDS1VVP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www.overclockers.co.uk/amd-ryzen-5-7500x3d-six-core-4.5ghz-socket-am5-processor-retail/PRO-AMD-06394.html" TargetMode="External"/><Relationship Id="rId2" Type="http://schemas.openxmlformats.org/officeDocument/2006/relationships/hyperlink" Target="https://pricespy.co.uk/go-to-shop/16391/offer/9B3-FB9-6D1?client_id=1551" TargetMode="External"/><Relationship Id="rId3" Type="http://schemas.openxmlformats.org/officeDocument/2006/relationships/hyperlink" Target="https://www.amazon.co.uk/dp/B0FT8X951Z" TargetMode="External"/><Relationship Id="rId4" Type="http://schemas.openxmlformats.org/officeDocument/2006/relationships/hyperlink" Target="https://pricespy.co.uk/go-to-shop/15098/offer/10295520?client_id=1551" TargetMode="External"/><Relationship Id="rId5" Type="http://schemas.openxmlformats.org/officeDocument/2006/relationships/hyperlink" Target="https://pricespy.co.uk/go-to-shop/43024/offer/100-100001904WOF?client_id=1551" TargetMode="External"/><Relationship Id="rId6" Type="http://schemas.openxmlformats.org/officeDocument/2006/relationships/hyperlink" Target="https://pricespy.co.uk/go-to-shop/15251/offer/X0E9F?client_id=1551" TargetMode="External"/><Relationship Id="rId7" Type="http://schemas.openxmlformats.org/officeDocument/2006/relationships/hyperlink" Target="https://www.amazon.co.uk/dp/B0DJZC1C3J" TargetMode="External"/><Relationship Id="rId8" Type="http://schemas.openxmlformats.org/officeDocument/2006/relationships/hyperlink" Target="https://computerorbit.com/products/thermalright-frozen-warframe-360-ultra-black-argb-lcd-aio-liquid-cooler" TargetMode="External"/><Relationship Id="rId9" Type="http://schemas.openxmlformats.org/officeDocument/2006/relationships/hyperlink" Target="https://www.overclockers.co.uk/msi-mag-b850m-mortar-wifi-amd-am5-b850-micro-atx-motherboard/MOT-MSI-05547.html" TargetMode="External"/><Relationship Id="rId10" Type="http://schemas.openxmlformats.org/officeDocument/2006/relationships/hyperlink" Target="https://pricespy.co.uk/go-to-shop/16391/offer/003-MSI-B50?client_id=1551" TargetMode="External"/><Relationship Id="rId11" Type="http://schemas.openxmlformats.org/officeDocument/2006/relationships/hyperlink" Target="https://www.amazon.co.uk/dp/B0F4Q45RKX" TargetMode="External"/><Relationship Id="rId12" Type="http://schemas.openxmlformats.org/officeDocument/2006/relationships/hyperlink" Target="https://www.scan.co.uk/products/msi-mag-b850m-mortar-wifi-amd-b850-am5-ddr5-pcie-50-3x-m2-5g-wifi7-usb-32-aplusc-amd-expo-atx" TargetMode="External"/><Relationship Id="rId13" Type="http://schemas.openxmlformats.org/officeDocument/2006/relationships/hyperlink" Target="https://pricespy.co.uk/go-to-shop/43024/offer/MAG%20B850M%20MORTAR%20WIFI?client_id=1551" TargetMode="External"/><Relationship Id="rId14" Type="http://schemas.openxmlformats.org/officeDocument/2006/relationships/hyperlink" Target="https://www.overclockers.co.uk/klevv-fit-v-expo-32gb-2x16gb-6000mhz-c28-ddr5-dual-channel-kit-black/MEM-KLV-07037.html" TargetMode="External"/><Relationship Id="rId15" Type="http://schemas.openxmlformats.org/officeDocument/2006/relationships/hyperlink" Target="https://www.currys.co.uk/products/klevv-fit-v-32-gb-ddr5-6000-mhz-pc-ram-2-x-16-gb-10304090.html" TargetMode="External"/><Relationship Id="rId16" Type="http://schemas.openxmlformats.org/officeDocument/2006/relationships/hyperlink" Target="https://www.overclockers.co.uk/powercolor-radeon-rx-9070-xt-reaper-16gb-gddr6-pci-express-graphics-card/GRA-PWC-04017.html" TargetMode="External"/><Relationship Id="rId17" Type="http://schemas.openxmlformats.org/officeDocument/2006/relationships/hyperlink" Target="https://pricespy.co.uk/go-to-shop/16391/offer/B23-6AB-D21?client_id=1551" TargetMode="External"/><Relationship Id="rId18" Type="http://schemas.openxmlformats.org/officeDocument/2006/relationships/hyperlink" Target="https://www.scan.co.uk/products/powercolor-amd-radeon-rx-9070-xt-reaper-16gb-gddr6-graphics-card" TargetMode="External"/><Relationship Id="rId19" Type="http://schemas.openxmlformats.org/officeDocument/2006/relationships/hyperlink" Target="https://pricespy.co.uk/go-to-shop/15251/offer/WGDSJ?client_id=1551" TargetMode="External"/><Relationship Id="rId20" Type="http://schemas.openxmlformats.org/officeDocument/2006/relationships/hyperlink" Target="https://www.overclockers.co.uk/crucial-p310-2tb-m.2-2280-pci-e-4.0-nvme-solid-state-drive/STO-CRU-03050.html" TargetMode="External"/><Relationship Id="rId21" Type="http://schemas.openxmlformats.org/officeDocument/2006/relationships/hyperlink" Target="https://pricespy.co.uk/go-to-shop/16391/offer/A18-71F-6BD?client_id=1551" TargetMode="External"/><Relationship Id="rId22" Type="http://schemas.openxmlformats.org/officeDocument/2006/relationships/hyperlink" Target="https://www.amazon.co.uk/dp/B0DC8RVRBZ" TargetMode="External"/><Relationship Id="rId23" Type="http://schemas.openxmlformats.org/officeDocument/2006/relationships/hyperlink" Target="https://www.overclockers.co.uk/corsair-rme-series-rm850e-850w-atx-3.1-pcie-5.1-cybenetics-gold-modular-power-supply/POW-CRS-03875.html" TargetMode="External"/><Relationship Id="rId24" Type="http://schemas.openxmlformats.org/officeDocument/2006/relationships/hyperlink" Target="https://pricespy.co.uk/go-to-shop/16391/offer/A09-B1B-1CE?client_id=1551" TargetMode="External"/><Relationship Id="rId25" Type="http://schemas.openxmlformats.org/officeDocument/2006/relationships/hyperlink" Target="https://www.amazon.co.uk/dp/B0DMTL43VR" TargetMode="External"/><Relationship Id="rId26" Type="http://schemas.openxmlformats.org/officeDocument/2006/relationships/hyperlink" Target="https://www.scan.co.uk/products/850w-corsair-rm850e-fully-modular-cybenetics-gold-pcie-51-single-rail-708a-120mm-fan-atx-31-psu" TargetMode="External"/><Relationship Id="rId27" Type="http://schemas.openxmlformats.org/officeDocument/2006/relationships/hyperlink" Target="https://pricespy.co.uk/go-to-shop/15098/offer/10290675?client_id=1551" TargetMode="External"/><Relationship Id="rId28" Type="http://schemas.openxmlformats.org/officeDocument/2006/relationships/hyperlink" Target="https://pricespy.co.uk/go-to-shop/15135/offer/7812349?client_id=1551" TargetMode="External"/><Relationship Id="rId29" Type="http://schemas.openxmlformats.org/officeDocument/2006/relationships/hyperlink" Target="https://www.overclockers.co.uk/jonsbo-d33-std-tempered-glass-matx-case-black/CAS-JON-08784.html" TargetMode="External"/><Relationship Id="rId30" Type="http://schemas.openxmlformats.org/officeDocument/2006/relationships/hyperlink" Target="https://www.watercoolinguk.co.uk/product/jonsbo-d33-std-pc-case-mini-case-matx-tempered-glass-black/" TargetMode="External"/><Relationship Id="rId31" Type="http://schemas.openxmlformats.org/officeDocument/2006/relationships/hyperlink" Target="https://www.amazon.co.uk/dp/B0G7J2Y686" TargetMode="External"/><Relationship Id="rId32" Type="http://schemas.openxmlformats.org/officeDocument/2006/relationships/hyperlink" Target="https://computerorbit.com/products/thermalright-trofeo-vision-9-16-lcd-black-display" TargetMode="External"/><Relationship Id="rId33" Type="http://schemas.openxmlformats.org/officeDocument/2006/relationships/hyperlink" Target="https://www.amazon.co.uk/dp/B0FNLNZP9Z" TargetMode="External"/><Relationship Id="rId34" Type="http://schemas.openxmlformats.org/officeDocument/2006/relationships/hyperlink" Target="https://computerorbit.com/products/thermalright-tl-m12qr-x3-black-a-rgb-reverse-120mm-pwm-triple-pack" TargetMode="External"/><Relationship Id="rId35" Type="http://schemas.openxmlformats.org/officeDocument/2006/relationships/hyperlink" Target="https://www.amazon.co.uk/dp/B0FNLNT7Q5" TargetMode="External"/><Relationship Id="rId36" Type="http://schemas.openxmlformats.org/officeDocument/2006/relationships/hyperlink" Target="https://computerorbit.com/products/thermalright-tl-m12q-x3-black-a-rgb-120mm-pwm-triple-pack" TargetMode="External"/><Relationship Id="rId37" Type="http://schemas.openxmlformats.org/officeDocument/2006/relationships/hyperlink" Target="https://www.overclockers.co.uk/kolink-argb-1-3-splitter-cable-30cm/CA-07K-KK.html" TargetMode="External"/><Relationship Id="rId38" Type="http://schemas.openxmlformats.org/officeDocument/2006/relationships/hyperlink" Target="https://www.amazon.co.uk/dp/B09N938PP4" TargetMode="External"/><Relationship Id="rId39" Type="http://schemas.openxmlformats.org/officeDocument/2006/relationships/hyperlink" Target="https://pricespy.co.uk/go-to-shop/16391/offer/4FA-A3D-061?client_id=1551" TargetMode="External"/><Relationship Id="rId40" Type="http://schemas.openxmlformats.org/officeDocument/2006/relationships/hyperlink" Target="https://www.amazon.co.uk/dp/B0BDS1VVPX" TargetMode="External"/><Relationship Id="rId41" Type="http://schemas.openxmlformats.org/officeDocument/2006/relationships/hyperlink" Target="https://pricespy.co.uk/go-to-shop/15495/offer/120375?client_id=1551" TargetMode="External"/><Relationship Id="rId42" Type="http://schemas.openxmlformats.org/officeDocument/2006/relationships/hyperlink" Target="https://www.microsoft.com/en-gb/d/windows-11-home/dg7gmgf0krt0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https://www.amazon.co.uk/dp/B0FT8X951Z" TargetMode="External"/><Relationship Id="rId2" Type="http://schemas.openxmlformats.org/officeDocument/2006/relationships/hyperlink" Target="https://pricespy.co.uk/go-to-shop/43024/offer/100-100001904WOF?client_id=1551" TargetMode="External"/><Relationship Id="rId3" Type="http://schemas.openxmlformats.org/officeDocument/2006/relationships/hyperlink" Target="https://www.overclockers.co.uk/amd-ryzen-5-7500x3d-six-core-4.5ghz-socket-am5-processor-retail/PRO-AMD-06394.html" TargetMode="External"/><Relationship Id="rId4" Type="http://schemas.openxmlformats.org/officeDocument/2006/relationships/hyperlink" Target="https://pricespy.co.uk/go-to-shop/15251/offer/X0E9F?client_id=1551" TargetMode="External"/><Relationship Id="rId5" Type="http://schemas.openxmlformats.org/officeDocument/2006/relationships/hyperlink" Target="https://pricespy.co.uk/go-to-shop/16391/offer/9B3-FB9-6D1?client_id=1551" TargetMode="External"/><Relationship Id="rId6" Type="http://schemas.openxmlformats.org/officeDocument/2006/relationships/hyperlink" Target="https://pricespy.co.uk/go-to-shop/15098/offer/10295520?client_id=1551" TargetMode="External"/><Relationship Id="rId7" Type="http://schemas.openxmlformats.org/officeDocument/2006/relationships/hyperlink" Target="https://www.amazon.co.uk/dp/B0DJZC1C3J" TargetMode="External"/><Relationship Id="rId8" Type="http://schemas.openxmlformats.org/officeDocument/2006/relationships/hyperlink" Target="https://computerorbit.com/products/thermalright-frozen-warframe-360-ultra-black-argb-lcd-aio-liquid-cooler" TargetMode="External"/><Relationship Id="rId9" Type="http://schemas.openxmlformats.org/officeDocument/2006/relationships/hyperlink" Target="https://www.amazon.co.uk/dp/B0F4Q45RKX" TargetMode="External"/><Relationship Id="rId10" Type="http://schemas.openxmlformats.org/officeDocument/2006/relationships/hyperlink" Target="https://pricespy.co.uk/go-to-shop/43024/offer/MAG%20B850M%20MORTAR%20WIFI?client_id=1551" TargetMode="External"/><Relationship Id="rId11" Type="http://schemas.openxmlformats.org/officeDocument/2006/relationships/hyperlink" Target="https://www.scan.co.uk/products/msi-mag-b850m-mortar-wifi-amd-b850-am5-ddr5-pcie-50-3x-m2-5g-wifi7-usb-32-aplusc-amd-expo-atx" TargetMode="External"/><Relationship Id="rId12" Type="http://schemas.openxmlformats.org/officeDocument/2006/relationships/hyperlink" Target="https://www.overclockers.co.uk/msi-mag-b850m-mortar-wifi-amd-am5-b850-micro-atx-motherboard/MOT-MSI-05547.html" TargetMode="External"/><Relationship Id="rId13" Type="http://schemas.openxmlformats.org/officeDocument/2006/relationships/hyperlink" Target="https://pricespy.co.uk/go-to-shop/16391/offer/003-MSI-B50?client_id=1551" TargetMode="External"/><Relationship Id="rId14" Type="http://schemas.openxmlformats.org/officeDocument/2006/relationships/hyperlink" Target="https://www.overclockers.co.uk/klevv-fit-v-expo-32gb-2x16gb-6000mhz-c28-ddr5-dual-channel-kit-black/MEM-KLV-07037.html" TargetMode="External"/><Relationship Id="rId15" Type="http://schemas.openxmlformats.org/officeDocument/2006/relationships/hyperlink" Target="https://www.currys.co.uk/products/klevv-fit-v-32-gb-ddr5-6000-mhz-pc-ram-2-x-16-gb-10304090.html" TargetMode="External"/><Relationship Id="rId16" Type="http://schemas.openxmlformats.org/officeDocument/2006/relationships/hyperlink" Target="https://www.overclockers.co.uk/powercolor-radeon-rx-9070-xt-reaper-16gb-gddr6-pci-express-graphics-card/GRA-PWC-04017.html" TargetMode="External"/><Relationship Id="rId17" Type="http://schemas.openxmlformats.org/officeDocument/2006/relationships/hyperlink" Target="https://www.scan.co.uk/products/powercolor-amd-radeon-rx-9070-xt-reaper-16gb-gddr6-graphics-card" TargetMode="External"/><Relationship Id="rId18" Type="http://schemas.openxmlformats.org/officeDocument/2006/relationships/hyperlink" Target="https://pricespy.co.uk/go-to-shop/15251/offer/WGDSJ?client_id=1551" TargetMode="External"/><Relationship Id="rId19" Type="http://schemas.openxmlformats.org/officeDocument/2006/relationships/hyperlink" Target="https://pricespy.co.uk/go-to-shop/16391/offer/B23-6AB-D21?client_id=1551" TargetMode="External"/><Relationship Id="rId20" Type="http://schemas.openxmlformats.org/officeDocument/2006/relationships/hyperlink" Target="https://www.amazon.co.uk/dp/B0DC8RVRBZ" TargetMode="External"/><Relationship Id="rId21" Type="http://schemas.openxmlformats.org/officeDocument/2006/relationships/hyperlink" Target="https://pricespy.co.uk/go-to-shop/16391/offer/A18-71F-6BD?client_id=1551" TargetMode="External"/><Relationship Id="rId22" Type="http://schemas.openxmlformats.org/officeDocument/2006/relationships/hyperlink" Target="https://www.overclockers.co.uk/crucial-p310-2tb-m.2-2280-pci-e-4.0-nvme-solid-state-drive/STO-CRU-03050.html" TargetMode="External"/><Relationship Id="rId23" Type="http://schemas.openxmlformats.org/officeDocument/2006/relationships/hyperlink" Target="https://www.amazon.co.uk/dp/B0DMTL43VR" TargetMode="External"/><Relationship Id="rId24" Type="http://schemas.openxmlformats.org/officeDocument/2006/relationships/hyperlink" Target="https://pricespy.co.uk/go-to-shop/15135/offer/7812349?client_id=1551" TargetMode="External"/><Relationship Id="rId25" Type="http://schemas.openxmlformats.org/officeDocument/2006/relationships/hyperlink" Target="https://www.scan.co.uk/products/850w-corsair-rm850e-fully-modular-cybenetics-gold-pcie-51-single-rail-708a-120mm-fan-atx-31-psu" TargetMode="External"/><Relationship Id="rId26" Type="http://schemas.openxmlformats.org/officeDocument/2006/relationships/hyperlink" Target="https://pricespy.co.uk/go-to-shop/16391/offer/A09-B1B-1CE?client_id=1551" TargetMode="External"/><Relationship Id="rId27" Type="http://schemas.openxmlformats.org/officeDocument/2006/relationships/hyperlink" Target="https://www.overclockers.co.uk/corsair-rme-series-rm850e-850w-atx-3.1-pcie-5.1-cybenetics-gold-modular-power-supply/POW-CRS-03875.html" TargetMode="External"/><Relationship Id="rId28" Type="http://schemas.openxmlformats.org/officeDocument/2006/relationships/hyperlink" Target="https://pricespy.co.uk/go-to-shop/15098/offer/10290675?client_id=1551" TargetMode="External"/><Relationship Id="rId29" Type="http://schemas.openxmlformats.org/officeDocument/2006/relationships/hyperlink" Target="https://www.watercoolinguk.co.uk/product/jonsbo-d33-std-pc-case-mini-case-matx-tempered-glass-black/" TargetMode="External"/><Relationship Id="rId30" Type="http://schemas.openxmlformats.org/officeDocument/2006/relationships/hyperlink" Target="https://www.overclockers.co.uk/jonsbo-d33-std-tempered-glass-matx-case-black/CAS-JON-08784.html" TargetMode="External"/><Relationship Id="rId31" Type="http://schemas.openxmlformats.org/officeDocument/2006/relationships/hyperlink" Target="https://www.amazon.co.uk/dp/B0G7J2Y686" TargetMode="External"/><Relationship Id="rId32" Type="http://schemas.openxmlformats.org/officeDocument/2006/relationships/hyperlink" Target="https://computerorbit.com/products/thermalright-trofeo-vision-9-16-lcd-black-display" TargetMode="External"/><Relationship Id="rId33" Type="http://schemas.openxmlformats.org/officeDocument/2006/relationships/hyperlink" Target="https://www.amazon.co.uk/dp/B0FNLNZP9Z" TargetMode="External"/><Relationship Id="rId34" Type="http://schemas.openxmlformats.org/officeDocument/2006/relationships/hyperlink" Target="https://computerorbit.com/products/thermalright-tl-m12qr-x3-black-a-rgb-reverse-120mm-pwm-triple-pack" TargetMode="External"/><Relationship Id="rId35" Type="http://schemas.openxmlformats.org/officeDocument/2006/relationships/hyperlink" Target="https://www.amazon.co.uk/dp/B0FNLNT7Q5" TargetMode="External"/><Relationship Id="rId36" Type="http://schemas.openxmlformats.org/officeDocument/2006/relationships/hyperlink" Target="https://computerorbit.com/products/thermalright-tl-m12q-x3-black-a-rgb-120mm-pwm-triple-pack" TargetMode="External"/><Relationship Id="rId37" Type="http://schemas.openxmlformats.org/officeDocument/2006/relationships/hyperlink" Target="https://www.amazon.co.uk/dp/B09N938PP4" TargetMode="External"/><Relationship Id="rId38" Type="http://schemas.openxmlformats.org/officeDocument/2006/relationships/hyperlink" Target="https://www.overclockers.co.uk/kolink-argb-1-3-splitter-cable-30cm/CA-07K-KK.html" TargetMode="External"/><Relationship Id="rId39" Type="http://schemas.openxmlformats.org/officeDocument/2006/relationships/hyperlink" Target="https://www.amazon.co.uk/dp/B0BDS1VVPX" TargetMode="External"/><Relationship Id="rId40" Type="http://schemas.openxmlformats.org/officeDocument/2006/relationships/hyperlink" Target="https://www.microsoft.com/en-gb/d/windows-11-home/dg7gmgf0krt0" TargetMode="External"/><Relationship Id="rId41" Type="http://schemas.openxmlformats.org/officeDocument/2006/relationships/hyperlink" Target="https://pricespy.co.uk/go-to-shop/16391/offer/4FA-A3D-061?client_id=1551" TargetMode="External"/><Relationship Id="rId42" Type="http://schemas.openxmlformats.org/officeDocument/2006/relationships/hyperlink" Target="https://pricespy.co.uk/go-to-shop/15495/offer/120375?client_id=1551" TargetMode="Externa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https://pricespy.co.uk/go-to-shop/15495/offer/133834?client_id=1551" TargetMode="External"/><Relationship Id="rId2" Type="http://schemas.openxmlformats.org/officeDocument/2006/relationships/hyperlink" Target="https://pricespy.co.uk/go-to-shop/1751/offer/B0DN6ZQ3PD?client_id=1551" TargetMode="External"/><Relationship Id="rId3" Type="http://schemas.openxmlformats.org/officeDocument/2006/relationships/hyperlink" Target="https://computerorbit.com/products/thermalright-peerless-vision-360-argb-black-lcd-aio-liquid-cooler" TargetMode="External"/><Relationship Id="rId4" Type="http://schemas.openxmlformats.org/officeDocument/2006/relationships/hyperlink" Target="https://www.overclockers.co.uk/powercolor-radeon-rx-9070-xt-hellhound-16gb-gddr6-pci-express-graphics-card/GRA-PWC-04016.html" TargetMode="Externa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hyperlink" Target="https://cybersecdigestdaily.github.io/arc/arc-build.xlsx" TargetMode="External"/><Relationship Id="rId2" Type="http://schemas.openxmlformats.org/officeDocument/2006/relationships/hyperlink" Target="https://cybersecdigestdaily.github.io/arc/" TargetMode="External"/><Relationship Id="rId3" Type="http://schemas.openxmlformats.org/officeDocument/2006/relationships/hyperlink" Target="https://cybersecdigestdaily.github.io/arc/prices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2937"/>
    <pageSetUpPr fitToPage="1"/>
  </sheetPr>
  <dimension ref="A1:M43"/>
  <sheetViews>
    <sheetView workbookViewId="0" showGridLines="0"/>
  </sheetViews>
  <sheetFormatPr defaultRowHeight="16"/>
  <cols>
    <col min="1" max="1" width="15" customWidth="1"/>
    <col min="2" max="2" width="46" customWidth="1"/>
    <col min="3" max="3" width="11" customWidth="1"/>
    <col min="4" max="4" width="17" customWidth="1"/>
    <col min="5" max="5" width="12" customWidth="1"/>
    <col min="6" max="6" width="11" customWidth="1"/>
    <col min="7" max="7" width="10" customWidth="1"/>
    <col min="8" max="8" width="11" customWidth="1"/>
    <col min="9" max="9" width="19" customWidth="1"/>
    <col min="10" max="10" width="24" customWidth="1"/>
    <col min="11" max="11" width="34" customWidth="1"/>
    <col min="12" max="12" width="8" customWidth="1"/>
    <col min="13" max="13" width="8" customWidth="1"/>
  </cols>
  <sheetData>
    <row r="1" ht="26" customHeight="1">
      <c r="A1" s="1" t="inlineStr">
        <is>
          <t>ARC · AM5 living-room gaming PC · Jonsbo D33 · all black</t>
        </is>
      </c>
    </row>
    <row r="2">
      <c r="A2" s="2" t="inlineStr">
        <is>
          <t>Live UK prices (inc VAT) from shops that deliver to Northern Ireland · updated Sat 24 Oct 2026, 18:21 UK · rebuilt about 4× a day, re-verified by the 07:46 sweep · newest copy: https://cybersecdigestdaily.github.io/arc/arc-build.xlsx</t>
        </is>
      </c>
    </row>
    <row r="4">
      <c r="A4" s="10" t="inlineStr">
        <is>
          <t>Parts total (cheapest basket, today's prices)</t>
        </is>
      </c>
      <c r="C4" s="28">
        <f>C26</f>
        <v>2166.85</v>
      </c>
    </row>
    <row r="5">
      <c r="A5" s="10" t="inlineStr">
        <is>
          <t>NI delivery, one order per shop (estimate)</t>
        </is>
      </c>
      <c r="C5" s="28">
        <f>SUM(E30:E33)</f>
        <v>34.99</v>
      </c>
    </row>
    <row r="6">
      <c r="A6" s="10" t="inlineStr">
        <is>
          <t>Total delivered</t>
        </is>
      </c>
      <c r="C6" s="28">
        <f>C4+C5</f>
        <v>2201.84</v>
      </c>
    </row>
    <row r="7">
      <c r="A7" s="10" t="inlineStr">
        <is>
          <t>Budget (incl. Windows) · edit me</t>
        </is>
      </c>
      <c r="C7" s="29">
        <v>2200.0</v>
      </c>
    </row>
    <row r="8">
      <c r="A8" s="10" t="inlineStr">
        <is>
          <t>Left in budget after delivery</t>
        </is>
      </c>
      <c r="C8" s="44">
        <f>C7-C6</f>
        <v>-1.84</v>
      </c>
    </row>
    <row r="9">
      <c r="A9" s="10" t="inlineStr">
        <is>
          <t>Parts vs the 22 Oct plan (£2,191.52)</t>
        </is>
      </c>
      <c r="C9" s="45">
        <f>C26-F26</f>
        <v>-24.67</v>
      </c>
    </row>
    <row r="10">
      <c r="A10" s="10" t="inlineStr">
        <is>
          <t>Paid so far · still to buy</t>
        </is>
      </c>
      <c r="C10" s="9" t="inlineStr">
        <is>
          <t>£0.00 paid · 13 of 13 parts left</t>
        </is>
      </c>
    </row>
    <row r="11">
      <c r="A11" s="6" t="inlineStr">
        <is>
          <t>Parts — the cheapest basket: item prices + one NI delivery per shop, vetted UK shops and Amazon Prime</t>
        </is>
      </c>
      <c r="I11" s="2" t="inlineStr">
        <is>
          <t>Blue = you can edit · green = cheaper than plan · red = dearer · amber rows = Phase 1 (case + fans)</t>
        </is>
      </c>
    </row>
    <row r="12">
      <c r="A12" s="3" t="inlineStr">
        <is>
          <t>Slot</t>
        </is>
      </c>
      <c r="B12" s="3" t="inlineStr">
        <is>
          <t>Part</t>
        </is>
      </c>
      <c r="C12" s="4" t="inlineStr">
        <is>
          <t>Price</t>
        </is>
      </c>
      <c r="D12" s="3" t="inlineStr">
        <is>
          <t>Shop</t>
        </is>
      </c>
      <c r="E12" s="3" t="inlineStr">
        <is>
          <t>Stock</t>
        </is>
      </c>
      <c r="F12" s="4" t="inlineStr">
        <is>
          <t>Plan 22 Oct</t>
        </is>
      </c>
      <c r="G12" s="4" t="inlineStr">
        <is>
          <t>vs plan</t>
        </is>
      </c>
      <c r="H12" s="4" t="inlineStr">
        <is>
          <t>vs yesterday</t>
        </is>
      </c>
      <c r="I12" s="3" t="inlineStr">
        <is>
          <t>Lowest seen</t>
        </is>
      </c>
      <c r="J12" s="3" t="inlineStr">
        <is>
          <t>Next best</t>
        </is>
      </c>
      <c r="K12" s="3" t="inlineStr">
        <is>
          <t>Notes</t>
        </is>
      </c>
      <c r="L12" s="3" t="inlineStr">
        <is>
          <t>Bought</t>
        </is>
      </c>
      <c r="M12" s="3" t="inlineStr">
        <is>
          <t>Link</t>
        </is>
      </c>
    </row>
    <row r="13">
      <c r="A13" s="9" t="inlineStr">
        <is>
          <t>CPU</t>
        </is>
      </c>
      <c r="B13" s="7" t="inlineStr">
        <is>
          <t>AMD Ryzen 5 7500X3D (retail box)</t>
        </is>
      </c>
      <c r="C13" s="20">
        <v>205.99</v>
      </c>
      <c r="D13" s="18" t="inlineStr">
        <is>
          <t>Amazon UK</t>
        </is>
      </c>
      <c r="E13" s="33" t="inlineStr">
        <is>
          <t>In stock</t>
        </is>
      </c>
      <c r="F13" s="20">
        <v>205.99</v>
      </c>
      <c r="G13" s="14">
        <f>C13-F13</f>
        <v>0.0</v>
      </c>
      <c r="H13" s="14">
        <v>0.0</v>
      </c>
      <c r="I13" s="10" t="inlineStr">
        <is>
          <t>£205.99 · 22 Oct</t>
        </is>
      </c>
      <c r="J13" s="10" t="inlineStr">
        <is>
          <t>Box £208.99</t>
        </is>
      </c>
      <c r="K13" s="11"/>
      <c r="L13" s="43"/>
      <c r="M13" s="32" t="inlineStr">
        <is>
          <t>Buy</t>
        </is>
      </c>
    </row>
    <row r="14">
      <c r="A14" s="9" t="inlineStr">
        <is>
          <t>CPU cooler</t>
        </is>
      </c>
      <c r="B14" s="7" t="inlineStr">
        <is>
          <t>Thermalright Frozen Warframe 360 Ultra ARGB, black (2.88" 480×480 LCD pump)</t>
        </is>
      </c>
      <c r="C14" s="20">
        <v>77.9</v>
      </c>
      <c r="D14" s="18" t="inlineStr">
        <is>
          <t>Amazon UK (Prime)</t>
        </is>
      </c>
      <c r="E14" s="33" t="inlineStr">
        <is>
          <t>In stock</t>
        </is>
      </c>
      <c r="F14" s="20">
        <v>77.9</v>
      </c>
      <c r="G14" s="14">
        <f>C14-F14</f>
        <v>0.0</v>
      </c>
      <c r="H14" s="14">
        <v>0.0</v>
      </c>
      <c r="I14" s="10" t="inlineStr">
        <is>
          <t>£77.90 · 22 Oct</t>
        </is>
      </c>
      <c r="J14" s="10" t="inlineStr">
        <is>
          <t>Computer Orbit £85.00</t>
        </is>
      </c>
      <c r="K14" s="11"/>
      <c r="L14" s="43"/>
      <c r="M14" s="32" t="inlineStr">
        <is>
          <t>Buy</t>
        </is>
      </c>
    </row>
    <row r="15">
      <c r="A15" s="9" t="inlineStr">
        <is>
          <t>Motherboard</t>
        </is>
      </c>
      <c r="B15" s="7" t="inlineStr">
        <is>
          <t>MSI MAG B850M Mortar WiFi</t>
        </is>
      </c>
      <c r="C15" s="20">
        <v>169.99</v>
      </c>
      <c r="D15" s="18" t="inlineStr">
        <is>
          <t>Amazon UK</t>
        </is>
      </c>
      <c r="E15" s="33" t="inlineStr">
        <is>
          <t>In stock</t>
        </is>
      </c>
      <c r="F15" s="20">
        <v>169.99</v>
      </c>
      <c r="G15" s="14">
        <f>C15-F15</f>
        <v>0.0</v>
      </c>
      <c r="H15" s="14">
        <v>0.0</v>
      </c>
      <c r="I15" s="10" t="inlineStr">
        <is>
          <t>£169.99 · 22 Oct</t>
        </is>
      </c>
      <c r="J15" s="10" t="inlineStr">
        <is>
          <t>Box £169.86</t>
        </is>
      </c>
      <c r="K15" s="11"/>
      <c r="L15" s="43"/>
      <c r="M15" s="32" t="inlineStr">
        <is>
          <t>Buy</t>
        </is>
      </c>
    </row>
    <row r="16">
      <c r="A16" s="9" t="inlineStr">
        <is>
          <t>RAM</t>
        </is>
      </c>
      <c r="B16" s="7" t="inlineStr">
        <is>
          <t>KLEVV FIT V 32GB (2×16GB) DDR5-6000 CL28, black</t>
        </is>
      </c>
      <c r="C16" s="20">
        <v>399.95</v>
      </c>
      <c r="D16" s="18" t="inlineStr">
        <is>
          <t>Overclockers UK</t>
        </is>
      </c>
      <c r="E16" s="33" t="inlineStr">
        <is>
          <t>In stock</t>
        </is>
      </c>
      <c r="F16" s="20">
        <v>398.99</v>
      </c>
      <c r="G16" s="13">
        <f>C16-F16</f>
        <v>0.96</v>
      </c>
      <c r="H16" s="14">
        <v>0.0</v>
      </c>
      <c r="I16" s="10" t="inlineStr">
        <is>
          <t>£399.95 · 22 Oct</t>
        </is>
      </c>
      <c r="J16" s="10" t="inlineStr">
        <is>
          <t>Currys £489.00</t>
        </is>
      </c>
      <c r="K16" s="11" t="inlineStr">
        <is>
          <t>Plan had the CL30 black kit (£398.99); the CL28 black kit is the same height for 96p more.</t>
        </is>
      </c>
      <c r="L16" s="43"/>
      <c r="M16" s="32" t="inlineStr">
        <is>
          <t>Buy</t>
        </is>
      </c>
    </row>
    <row r="17">
      <c r="A17" s="9" t="inlineStr">
        <is>
          <t>GPU</t>
        </is>
      </c>
      <c r="B17" s="7" t="inlineStr">
        <is>
          <t>PowerColor Radeon RX 9070 XT Reaper 16GB</t>
        </is>
      </c>
      <c r="C17" s="20">
        <v>749.99</v>
      </c>
      <c r="D17" s="18" t="inlineStr">
        <is>
          <t>Overclockers UK</t>
        </is>
      </c>
      <c r="E17" s="33" t="inlineStr">
        <is>
          <t>In stock</t>
        </is>
      </c>
      <c r="F17" s="20">
        <v>749.99</v>
      </c>
      <c r="G17" s="14">
        <f>C17-F17</f>
        <v>0.0</v>
      </c>
      <c r="H17" s="14">
        <v>0.0</v>
      </c>
      <c r="I17" s="10" t="inlineStr">
        <is>
          <t>£749.99 · 22 Oct</t>
        </is>
      </c>
      <c r="J17" s="10" t="inlineStr">
        <is>
          <t>Scan £899.99</t>
        </is>
      </c>
      <c r="K17" s="11"/>
      <c r="L17" s="43"/>
      <c r="M17" s="32" t="inlineStr">
        <is>
          <t>Buy</t>
        </is>
      </c>
    </row>
    <row r="18">
      <c r="A18" s="9" t="inlineStr">
        <is>
          <t>SSD</t>
        </is>
      </c>
      <c r="B18" s="7" t="inlineStr">
        <is>
          <t>Crucial P310 2TB NVMe (PCIe 4.0, M.2 2280)</t>
        </is>
      </c>
      <c r="C18" s="20">
        <v>199.99</v>
      </c>
      <c r="D18" s="18" t="inlineStr">
        <is>
          <t>Amazon UK</t>
        </is>
      </c>
      <c r="E18" s="33" t="inlineStr">
        <is>
          <t>In stock</t>
        </is>
      </c>
      <c r="F18" s="20">
        <v>199.99</v>
      </c>
      <c r="G18" s="14">
        <f>C18-F18</f>
        <v>0.0</v>
      </c>
      <c r="H18" s="14">
        <v>0.0</v>
      </c>
      <c r="I18" s="10" t="inlineStr">
        <is>
          <t>£199.99 · 22 Oct</t>
        </is>
      </c>
      <c r="J18" s="10" t="inlineStr">
        <is>
          <t>AWD-IT £303.62</t>
        </is>
      </c>
      <c r="K18" s="11"/>
      <c r="L18" s="43"/>
      <c r="M18" s="32" t="inlineStr">
        <is>
          <t>Buy</t>
        </is>
      </c>
    </row>
    <row r="19">
      <c r="A19" s="9" t="inlineStr">
        <is>
          <t>PSU</t>
        </is>
      </c>
      <c r="B19" s="7" t="inlineStr">
        <is>
          <t>Corsair RM850e (2025) Gold, fully modular</t>
        </is>
      </c>
      <c r="C19" s="20">
        <v>89.99</v>
      </c>
      <c r="D19" s="18" t="inlineStr">
        <is>
          <t>Amazon UK</t>
        </is>
      </c>
      <c r="E19" s="33" t="inlineStr">
        <is>
          <t>In stock</t>
        </is>
      </c>
      <c r="F19" s="20">
        <v>98.99</v>
      </c>
      <c r="G19" s="12">
        <f>C19-F19</f>
        <v>-9.0</v>
      </c>
      <c r="H19" s="14">
        <v>0.0</v>
      </c>
      <c r="I19" s="10" t="inlineStr">
        <is>
          <t>£89.99 · 22 Oct</t>
        </is>
      </c>
      <c r="J19" s="10" t="inlineStr">
        <is>
          <t>Argos £124.99</t>
        </is>
      </c>
      <c r="K19" s="11" t="inlineStr">
        <is>
          <t>5%+ under plan</t>
        </is>
      </c>
      <c r="L19" s="43"/>
      <c r="M19" s="32" t="inlineStr">
        <is>
          <t>Buy</t>
        </is>
      </c>
    </row>
    <row r="20">
      <c r="A20" s="41" t="inlineStr">
        <is>
          <t>Case</t>
        </is>
      </c>
      <c r="B20" s="40" t="inlineStr">
        <is>
          <t>Jonsbo D33 STD, black (tempered glass)</t>
        </is>
      </c>
      <c r="C20" s="24">
        <v>79.91</v>
      </c>
      <c r="D20" s="18" t="inlineStr">
        <is>
          <t>Watercooling UK</t>
        </is>
      </c>
      <c r="E20" s="33" t="inlineStr">
        <is>
          <t>In stock</t>
        </is>
      </c>
      <c r="F20" s="20">
        <v>79.91</v>
      </c>
      <c r="G20" s="14">
        <f>C20-F20</f>
        <v>0.0</v>
      </c>
      <c r="H20" s="14">
        <v>0.0</v>
      </c>
      <c r="I20" s="10" t="inlineStr">
        <is>
          <t>£79.91 · 22 Oct</t>
        </is>
      </c>
      <c r="J20" s="10" t="inlineStr">
        <is>
          <t>Overclockers UK £79.99 (pre-order)</t>
        </is>
      </c>
      <c r="K20" s="11" t="inlineStr">
        <is>
          <t>Phase 1 · NI delivery cost to confirm</t>
        </is>
      </c>
      <c r="L20" s="43"/>
      <c r="M20" s="32" t="inlineStr">
        <is>
          <t>Buy</t>
        </is>
      </c>
    </row>
    <row r="21">
      <c r="A21" s="9" t="inlineStr">
        <is>
          <t>Front screen</t>
        </is>
      </c>
      <c r="B21" s="7" t="inlineStr">
        <is>
          <t>Thermalright Trofeo Vision 9.16" LCD, black</t>
        </is>
      </c>
      <c r="C21" s="20">
        <v>36.9</v>
      </c>
      <c r="D21" s="18" t="inlineStr">
        <is>
          <t>Amazon UK (Prime)</t>
        </is>
      </c>
      <c r="E21" s="33" t="inlineStr">
        <is>
          <t>In stock</t>
        </is>
      </c>
      <c r="F21" s="20">
        <v>36.9</v>
      </c>
      <c r="G21" s="14">
        <f>C21-F21</f>
        <v>0.0</v>
      </c>
      <c r="H21" s="14">
        <v>0.0</v>
      </c>
      <c r="I21" s="10" t="inlineStr">
        <is>
          <t>£36.90 · 22 Oct</t>
        </is>
      </c>
      <c r="J21" s="10" t="inlineStr">
        <is>
          <t>Computer Orbit £35.00 (out of stock)</t>
        </is>
      </c>
      <c r="K21" s="11" t="inlineStr">
        <is>
          <t>Amazon Prime is the only in-stock source (Computer Orbit's £35 is out of stock). Skip listing B0G1BRCS7X: it says black but its model number is the white screen.</t>
        </is>
      </c>
      <c r="L21" s="43"/>
      <c r="M21" s="32" t="inlineStr">
        <is>
          <t>Buy</t>
        </is>
      </c>
    </row>
    <row r="22">
      <c r="A22" s="41" t="inlineStr">
        <is>
          <t>Bottom fans</t>
        </is>
      </c>
      <c r="B22" s="40" t="inlineStr">
        <is>
          <t>Thermalright TL-M12QR X3 reverse-blade ARGB 3-pack, black</t>
        </is>
      </c>
      <c r="C22" s="24">
        <v>17.9</v>
      </c>
      <c r="D22" s="18" t="inlineStr">
        <is>
          <t>Amazon UK (Prime)</t>
        </is>
      </c>
      <c r="E22" s="33" t="inlineStr">
        <is>
          <t>In stock</t>
        </is>
      </c>
      <c r="F22" s="20">
        <v>23.9</v>
      </c>
      <c r="G22" s="12">
        <f>C22-F22</f>
        <v>-6.0</v>
      </c>
      <c r="H22" s="14">
        <v>0.0</v>
      </c>
      <c r="I22" s="10" t="inlineStr">
        <is>
          <t>£17.90 · 22 Oct</t>
        </is>
      </c>
      <c r="J22" s="10" t="inlineStr">
        <is>
          <t>Computer Orbit £19.00</t>
        </is>
      </c>
      <c r="K22" s="11" t="inlineStr">
        <is>
          <t>Phase 1 · 5%+ under plan</t>
        </is>
      </c>
      <c r="L22" s="43"/>
      <c r="M22" s="32" t="inlineStr">
        <is>
          <t>Buy</t>
        </is>
      </c>
    </row>
    <row r="23">
      <c r="A23" s="41" t="inlineStr">
        <is>
          <t>Front/rear fans</t>
        </is>
      </c>
      <c r="B23" s="40" t="inlineStr">
        <is>
          <t>Thermalright TL-M12Q X3 ARGB 3-pack, black</t>
        </is>
      </c>
      <c r="C23" s="24">
        <v>18.49</v>
      </c>
      <c r="D23" s="18" t="inlineStr">
        <is>
          <t>Amazon UK (Prime)</t>
        </is>
      </c>
      <c r="E23" s="33" t="inlineStr">
        <is>
          <t>In stock</t>
        </is>
      </c>
      <c r="F23" s="20">
        <v>21.99</v>
      </c>
      <c r="G23" s="12">
        <f>C23-F23</f>
        <v>-3.5</v>
      </c>
      <c r="H23" s="14">
        <v>0.0</v>
      </c>
      <c r="I23" s="10" t="inlineStr">
        <is>
          <t>£18.49 · 22 Oct</t>
        </is>
      </c>
      <c r="J23" s="10" t="inlineStr">
        <is>
          <t>Computer Orbit £19.00</t>
        </is>
      </c>
      <c r="K23" s="11" t="inlineStr">
        <is>
          <t>Phase 1 · 5%+ under plan</t>
        </is>
      </c>
      <c r="L23" s="43"/>
      <c r="M23" s="32" t="inlineStr">
        <is>
          <t>Buy</t>
        </is>
      </c>
    </row>
    <row r="24">
      <c r="A24" s="9" t="inlineStr">
        <is>
          <t>ARGB splitter</t>
        </is>
      </c>
      <c r="B24" s="7" t="inlineStr">
        <is>
          <t>Kolink ARGB 1-to-3 splitter cable (5V 3-pin, 30cm)</t>
        </is>
      </c>
      <c r="C24" s="20">
        <v>0.85</v>
      </c>
      <c r="D24" s="18" t="inlineStr">
        <is>
          <t>Overclockers UK</t>
        </is>
      </c>
      <c r="E24" s="33" t="inlineStr">
        <is>
          <t>In stock</t>
        </is>
      </c>
      <c r="F24" s="20">
        <v>6.99</v>
      </c>
      <c r="G24" s="12">
        <f>C24-F24</f>
        <v>-6.14</v>
      </c>
      <c r="H24" s="14">
        <v>0.0</v>
      </c>
      <c r="I24" s="10" t="inlineStr">
        <is>
          <t>£0.85 · 22 Oct</t>
        </is>
      </c>
      <c r="J24" s="10" t="inlineStr">
        <is>
          <t>Amazon UK (Prime) £6.99</t>
        </is>
      </c>
      <c r="K24" s="11" t="inlineStr">
        <is>
          <t>On its own £6.99 at Amazon UK (Prime); cheaper here once delivery is shared · 5%+ under plan</t>
        </is>
      </c>
      <c r="L24" s="43"/>
      <c r="M24" s="32" t="inlineStr">
        <is>
          <t>Buy</t>
        </is>
      </c>
    </row>
    <row r="25">
      <c r="A25" s="9" t="inlineStr">
        <is>
          <t>Windows</t>
        </is>
      </c>
      <c r="B25" s="7" t="inlineStr">
        <is>
          <t>Windows 11 Home (full licence)</t>
        </is>
      </c>
      <c r="C25" s="20">
        <v>119.0</v>
      </c>
      <c r="D25" s="18" t="inlineStr">
        <is>
          <t>Amazon UK (Prime)</t>
        </is>
      </c>
      <c r="E25" s="33" t="inlineStr">
        <is>
          <t>In stock</t>
        </is>
      </c>
      <c r="F25" s="20">
        <v>119.99</v>
      </c>
      <c r="G25" s="12">
        <f>C25-F25</f>
        <v>-0.99</v>
      </c>
      <c r="H25" s="14">
        <v>0.0</v>
      </c>
      <c r="I25" s="10" t="inlineStr">
        <is>
          <t>£119.00 · 23 Oct</t>
        </is>
      </c>
      <c r="J25" s="10" t="inlineStr">
        <is>
          <t>Microsoft Store £119.99</t>
        </is>
      </c>
      <c r="K25" s="11"/>
      <c r="L25" s="43"/>
      <c r="M25" s="32" t="inlineStr">
        <is>
          <t>Buy</t>
        </is>
      </c>
    </row>
    <row r="26">
      <c r="A26" s="39"/>
      <c r="B26" s="36" t="inlineStr">
        <is>
          <t>Parts total</t>
        </is>
      </c>
      <c r="C26" s="37">
        <f>SUM(C13:C25)</f>
        <v>2166.85</v>
      </c>
      <c r="D26" s="39"/>
      <c r="E26" s="39"/>
      <c r="F26" s="37">
        <f>SUM(F13:F25)</f>
        <v>2191.52</v>
      </c>
      <c r="G26" s="46">
        <f>C26-F26</f>
        <v>-24.67</v>
      </c>
      <c r="H26" s="39"/>
      <c r="I26" s="39"/>
      <c r="J26" s="39"/>
      <c r="K26" s="39"/>
      <c r="L26" s="39"/>
      <c r="M26" s="39"/>
    </row>
    <row r="28">
      <c r="A28" s="6" t="inlineStr">
        <is>
          <t>Buying plan — one order per shop</t>
        </is>
      </c>
    </row>
    <row r="29">
      <c r="A29" s="3" t="inlineStr">
        <is>
          <t>Shop</t>
        </is>
      </c>
      <c r="B29" s="3" t="inlineStr">
        <is>
          <t>Parts</t>
        </is>
      </c>
      <c r="C29" s="3"/>
      <c r="D29" s="4" t="inlineStr">
        <is>
          <t>Items</t>
        </is>
      </c>
      <c r="E29" s="4" t="inlineStr">
        <is>
          <t>NI delivery</t>
        </is>
      </c>
      <c r="F29" s="3" t="inlineStr">
        <is>
          <t>Basis</t>
        </is>
      </c>
    </row>
    <row r="30">
      <c r="A30" s="9" t="inlineStr">
        <is>
          <t>Overclockers UK</t>
        </is>
      </c>
      <c r="B30" s="11" t="inlineStr">
        <is>
          <t>RAM, GPU, ARGB splitter</t>
        </is>
      </c>
      <c r="D30" s="20">
        <f>SUMIFS(C13:C25,D13:D25,A30,L13:L25,"&lt;&gt;Y")</f>
        <v>1150.79</v>
      </c>
      <c r="E30" s="20">
        <v>19.99</v>
      </c>
      <c r="F30" s="10" t="inlineStr">
        <is>
          <t>DPD to NI; GPU, RAM and splitter in one order</t>
        </is>
      </c>
    </row>
    <row r="31">
      <c r="A31" s="9" t="inlineStr">
        <is>
          <t>Amazon UK</t>
        </is>
      </c>
      <c r="B31" s="11" t="inlineStr">
        <is>
          <t>CPU, Motherboard, SSD, PSU</t>
        </is>
      </c>
      <c r="D31" s="20">
        <f>SUMIFS(C13:C25,D13:D25,A31,L13:L25,"&lt;&gt;Y")</f>
        <v>665.96</v>
      </c>
      <c r="E31" s="20">
        <v>0.0</v>
      </c>
      <c r="F31" s="10" t="inlineStr">
        <is>
          <t>Sold by Amazon; free delivery to NI on these items</t>
        </is>
      </c>
    </row>
    <row r="32">
      <c r="A32" s="9" t="inlineStr">
        <is>
          <t>Amazon UK (Prime)</t>
        </is>
      </c>
      <c r="B32" s="11" t="inlineStr">
        <is>
          <t>CPU cooler, Front screen, Bottom fans, Front/rear fans, Windows</t>
        </is>
      </c>
      <c r="D32" s="20">
        <f>SUMIFS(C13:C25,D13:D25,A32,L13:L25,"&lt;&gt;Y")</f>
        <v>270.19</v>
      </c>
      <c r="E32" s="20">
        <v>0.0</v>
      </c>
      <c r="F32" s="10" t="inlineStr">
        <is>
          <t>Prime, free delivery</t>
        </is>
      </c>
    </row>
    <row r="33">
      <c r="A33" s="9" t="inlineStr">
        <is>
          <t>Watercooling UK</t>
        </is>
      </c>
      <c r="B33" s="11" t="inlineStr">
        <is>
          <t>Case</t>
        </is>
      </c>
      <c r="D33" s="20">
        <f>SUMIFS(C13:C25,D13:D25,A33,L13:L25,"&lt;&gt;Y")</f>
        <v>79.91</v>
      </c>
      <c r="E33" s="20">
        <v>15.0</v>
      </c>
      <c r="F33" s="10" t="inlineStr">
        <is>
          <t>Case delivery shown at checkout (estimate used)</t>
        </is>
      </c>
    </row>
    <row r="35">
      <c r="A35" s="6" t="inlineStr">
        <is>
          <t>Phase 1 · case + fans — first purchase</t>
        </is>
      </c>
    </row>
    <row r="36">
      <c r="A36" s="41" t="inlineStr">
        <is>
          <t>Case</t>
        </is>
      </c>
      <c r="B36" s="40" t="inlineStr">
        <is>
          <t>Jonsbo D33 STD, black (tempered glass)</t>
        </is>
      </c>
      <c r="C36" s="24">
        <f>C20</f>
        <v>79.91</v>
      </c>
    </row>
    <row r="37">
      <c r="A37" s="41" t="inlineStr">
        <is>
          <t>Bottom fans</t>
        </is>
      </c>
      <c r="B37" s="40" t="inlineStr">
        <is>
          <t>Thermalright TL-M12QR X3 reverse-blade ARGB 3-pack, black</t>
        </is>
      </c>
      <c r="C37" s="24">
        <f>C22</f>
        <v>17.9</v>
      </c>
    </row>
    <row r="38">
      <c r="A38" s="41" t="inlineStr">
        <is>
          <t>Front/rear fans</t>
        </is>
      </c>
      <c r="B38" s="40" t="inlineStr">
        <is>
          <t>Thermalright TL-M12Q X3 ARGB 3-pack, black</t>
        </is>
      </c>
      <c r="C38" s="24">
        <f>C23</f>
        <v>18.49</v>
      </c>
    </row>
    <row r="39">
      <c r="B39" s="36" t="inlineStr">
        <is>
          <t>Phase 1 spend (items)</t>
        </is>
      </c>
      <c r="C39" s="37">
        <f>SUM(C36,C37,C38)</f>
        <v>116.3</v>
      </c>
    </row>
    <row r="40">
      <c r="B40" s="10" t="inlineStr">
        <is>
          <t>Phase 1 budget · edit me</t>
        </is>
      </c>
      <c r="C40" s="47">
        <v>132.9</v>
      </c>
    </row>
    <row r="41">
      <c r="B41" s="10" t="inlineStr">
        <is>
          <t>Left in Phase 1 budget (before delivery)</t>
        </is>
      </c>
      <c r="C41" s="48">
        <f>C40-C39</f>
        <v>16.6</v>
      </c>
    </row>
    <row r="42">
      <c r="B42" s="10" t="inlineStr">
        <is>
          <t>Order by (allows for NI delivery)</t>
        </is>
      </c>
      <c r="C42" s="30">
        <v>46373.0</v>
      </c>
    </row>
    <row r="43" ht="30" customHeight="1">
      <c r="B43" s="11" t="inlineStr">
        <is>
          <t>Both fan packs come from Amazon Prime with free delivery; only the case pays delivery (Watercooling UK, shown at checkout).</t>
        </is>
      </c>
    </row>
  </sheetData>
  <mergeCells count="7">
    <mergeCell ref="A4:B4"/>
    <mergeCell ref="A5:B5"/>
    <mergeCell ref="A6:B6"/>
    <mergeCell ref="A7:B7"/>
    <mergeCell ref="A8:B8"/>
    <mergeCell ref="A9:B9"/>
    <mergeCell ref="A10:B10"/>
  </mergeCells>
  <hyperlinks>
    <hyperlink ref="M13" r:id="rId1"/>
    <hyperlink ref="M14" r:id="rId2"/>
    <hyperlink ref="M15" r:id="rId3"/>
    <hyperlink ref="M16" r:id="rId4"/>
    <hyperlink ref="M17" r:id="rId5"/>
    <hyperlink ref="M18" r:id="rId6"/>
    <hyperlink ref="M19" r:id="rId7"/>
    <hyperlink ref="M20" r:id="rId8"/>
    <hyperlink ref="M21" r:id="rId9"/>
    <hyperlink ref="M22" r:id="rId10"/>
    <hyperlink ref="M23" r:id="rId11"/>
    <hyperlink ref="M24" r:id="rId12"/>
    <hyperlink ref="M25" r:id="rId13"/>
  </hyperlinks>
  <pageMargins left="0.4" right="0.4" top="0.5" bottom="0.5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5803D"/>
    <pageSetUpPr fitToPage="1"/>
  </sheetPr>
  <dimension ref="A1:O19"/>
  <sheetViews>
    <sheetView workbookViewId="0" showGridLines="0">
      <pane xSplit="2" ySplit="4" topLeftCell="C5" activePane="bottomRight" state="frozen"/>
      <selection pane="bottomRight" activeCell="C5" sqref="C5"/>
    </sheetView>
  </sheetViews>
  <sheetFormatPr defaultRowHeight="16"/>
  <cols>
    <col min="1" max="1" width="15" customWidth="1"/>
    <col min="2" max="2" width="40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2" customWidth="1"/>
  </cols>
  <sheetData>
    <row r="1" ht="26" customHeight="1">
      <c r="A1" s="1" t="inlineStr">
        <is>
          <t>Price at every vetted UK shop (inc VAT, before delivery)</t>
        </is>
      </c>
    </row>
    <row r="2">
      <c r="A2" s="2" t="inlineStr">
        <is>
          <t>Green = in the cheapest basket (each shop's NI delivery counted once; amber italic = pick is out of stock everywhere vetted) · grey italic = out of stock, pre-order or stock unknown · blank = not sold there or not vetted · updated Sat 24 Oct 2026, 18:21 UK</t>
        </is>
      </c>
    </row>
    <row r="4" ht="30" customHeight="1">
      <c r="A4" s="3" t="inlineStr">
        <is>
          <t>Slot</t>
        </is>
      </c>
      <c r="B4" s="3" t="inlineStr">
        <is>
          <t>Part</t>
        </is>
      </c>
      <c r="C4" s="5" t="inlineStr">
        <is>
          <t>Overclockers UK</t>
        </is>
      </c>
      <c r="D4" s="5" t="inlineStr">
        <is>
          <t>AWD-IT</t>
        </is>
      </c>
      <c r="E4" s="5" t="inlineStr">
        <is>
          <t>Amazon UK (Prime)</t>
        </is>
      </c>
      <c r="F4" s="5" t="inlineStr">
        <is>
          <t>Amazon UK</t>
        </is>
      </c>
      <c r="G4" s="5" t="inlineStr">
        <is>
          <t>Computer Orbit</t>
        </is>
      </c>
      <c r="H4" s="5" t="inlineStr">
        <is>
          <t>Scan</t>
        </is>
      </c>
      <c r="I4" s="5" t="inlineStr">
        <is>
          <t>Currys</t>
        </is>
      </c>
      <c r="J4" s="5" t="inlineStr">
        <is>
          <t>Box</t>
        </is>
      </c>
      <c r="K4" s="5" t="inlineStr">
        <is>
          <t>Very</t>
        </is>
      </c>
      <c r="L4" s="5" t="inlineStr">
        <is>
          <t>Argos</t>
        </is>
      </c>
      <c r="M4" s="5" t="inlineStr">
        <is>
          <t>Microsoft Store</t>
        </is>
      </c>
      <c r="N4" s="5" t="inlineStr">
        <is>
          <t>Watercooling UK</t>
        </is>
      </c>
      <c r="O4" s="4" t="inlineStr">
        <is>
          <t>Lowest listed</t>
        </is>
      </c>
    </row>
    <row r="5">
      <c r="A5" s="9" t="inlineStr">
        <is>
          <t>CPU</t>
        </is>
      </c>
      <c r="B5" s="7" t="inlineStr">
        <is>
          <t>AMD Ryzen 5 7500X3D (retail box)</t>
        </is>
      </c>
      <c r="C5" s="20">
        <v>209.99</v>
      </c>
      <c r="D5" s="20">
        <v>239.99</v>
      </c>
      <c r="F5" s="22">
        <v>205.99</v>
      </c>
      <c r="I5" s="23">
        <v>229.0</v>
      </c>
      <c r="J5" s="20">
        <v>208.99</v>
      </c>
      <c r="K5" s="20">
        <v>250.0</v>
      </c>
      <c r="O5" s="21">
        <f>IFERROR(MIN(C5:N5),"")</f>
        <v>205.99</v>
      </c>
    </row>
    <row r="6">
      <c r="A6" s="9" t="inlineStr">
        <is>
          <t>CPU cooler</t>
        </is>
      </c>
      <c r="B6" s="7" t="inlineStr">
        <is>
          <t>Thermalright Frozen Warframe 360 Ultra ARGB, black (2.88" 480×480 LCD pump)</t>
        </is>
      </c>
      <c r="E6" s="22">
        <v>77.9</v>
      </c>
      <c r="G6" s="20">
        <v>85.0</v>
      </c>
      <c r="O6" s="21">
        <f>IFERROR(MIN(C6:N6),"")</f>
        <v>77.9</v>
      </c>
    </row>
    <row r="7">
      <c r="A7" s="9" t="inlineStr">
        <is>
          <t>Motherboard</t>
        </is>
      </c>
      <c r="B7" s="7" t="inlineStr">
        <is>
          <t>MSI MAG B850M Mortar WiFi</t>
        </is>
      </c>
      <c r="C7" s="20">
        <v>169.99</v>
      </c>
      <c r="D7" s="20">
        <v>187.17</v>
      </c>
      <c r="F7" s="22">
        <v>169.99</v>
      </c>
      <c r="H7" s="20">
        <v>169.99</v>
      </c>
      <c r="J7" s="20">
        <v>169.86</v>
      </c>
      <c r="O7" s="21">
        <f>IFERROR(MIN(C7:N7),"")</f>
        <v>169.86</v>
      </c>
    </row>
    <row r="8">
      <c r="A8" s="9" t="inlineStr">
        <is>
          <t>RAM</t>
        </is>
      </c>
      <c r="B8" s="7" t="inlineStr">
        <is>
          <t>KLEVV FIT V 32GB (2×16GB) DDR5-6000 CL28, black</t>
        </is>
      </c>
      <c r="C8" s="22">
        <v>399.95</v>
      </c>
      <c r="I8" s="20">
        <v>489.0</v>
      </c>
      <c r="O8" s="21">
        <f>IFERROR(MIN(C8:N8),"")</f>
        <v>399.95</v>
      </c>
    </row>
    <row r="9">
      <c r="A9" s="9" t="inlineStr">
        <is>
          <t>GPU</t>
        </is>
      </c>
      <c r="B9" s="7" t="inlineStr">
        <is>
          <t>PowerColor Radeon RX 9070 XT Reaper 16GB</t>
        </is>
      </c>
      <c r="C9" s="22">
        <v>749.99</v>
      </c>
      <c r="D9" s="20">
        <v>1010.95</v>
      </c>
      <c r="H9" s="20">
        <v>899.99</v>
      </c>
      <c r="K9" s="20">
        <v>989.0</v>
      </c>
      <c r="O9" s="21">
        <f>IFERROR(MIN(C9:N9),"")</f>
        <v>749.99</v>
      </c>
    </row>
    <row r="10">
      <c r="A10" s="9" t="inlineStr">
        <is>
          <t>SSD</t>
        </is>
      </c>
      <c r="B10" s="7" t="inlineStr">
        <is>
          <t>Crucial P310 2TB NVMe (PCIe 4.0, M.2 2280)</t>
        </is>
      </c>
      <c r="C10" s="23">
        <v>209.99</v>
      </c>
      <c r="D10" s="20">
        <v>303.62</v>
      </c>
      <c r="F10" s="22">
        <v>199.99</v>
      </c>
      <c r="O10" s="21">
        <f>IFERROR(MIN(C10:N10),"")</f>
        <v>199.99</v>
      </c>
    </row>
    <row r="11">
      <c r="A11" s="9" t="inlineStr">
        <is>
          <t>PSU</t>
        </is>
      </c>
      <c r="B11" s="7" t="inlineStr">
        <is>
          <t>Corsair RM850e (2025) Gold, fully modular</t>
        </is>
      </c>
      <c r="C11" s="20">
        <v>119.99</v>
      </c>
      <c r="D11" s="20">
        <v>119.99</v>
      </c>
      <c r="F11" s="22">
        <v>89.99</v>
      </c>
      <c r="H11" s="20">
        <v>119.99</v>
      </c>
      <c r="I11" s="23">
        <v>119.9</v>
      </c>
      <c r="L11" s="20">
        <v>124.99</v>
      </c>
      <c r="O11" s="21">
        <f>IFERROR(MIN(C11:N11),"")</f>
        <v>89.99</v>
      </c>
    </row>
    <row r="12">
      <c r="A12" s="9" t="inlineStr">
        <is>
          <t>Case</t>
        </is>
      </c>
      <c r="B12" s="7" t="inlineStr">
        <is>
          <t>Jonsbo D33 STD, black (tempered glass)</t>
        </is>
      </c>
      <c r="C12" s="23">
        <v>79.99</v>
      </c>
      <c r="N12" s="22">
        <v>79.91</v>
      </c>
      <c r="O12" s="21">
        <f>IFERROR(MIN(C12:N12),"")</f>
        <v>79.91</v>
      </c>
    </row>
    <row r="13">
      <c r="A13" s="9" t="inlineStr">
        <is>
          <t>Front screen</t>
        </is>
      </c>
      <c r="B13" s="7" t="inlineStr">
        <is>
          <t>Thermalright Trofeo Vision 9.16" LCD, black</t>
        </is>
      </c>
      <c r="E13" s="22">
        <v>36.9</v>
      </c>
      <c r="G13" s="23">
        <v>35.0</v>
      </c>
      <c r="O13" s="21">
        <f>IFERROR(MIN(C13:N13),"")</f>
        <v>35.0</v>
      </c>
    </row>
    <row r="14">
      <c r="A14" s="9" t="inlineStr">
        <is>
          <t>Bottom fans</t>
        </is>
      </c>
      <c r="B14" s="7" t="inlineStr">
        <is>
          <t>Thermalright TL-M12QR X3 reverse-blade ARGB 3-pack, black</t>
        </is>
      </c>
      <c r="E14" s="22">
        <v>17.9</v>
      </c>
      <c r="G14" s="20">
        <v>19.0</v>
      </c>
      <c r="O14" s="21">
        <f>IFERROR(MIN(C14:N14),"")</f>
        <v>17.9</v>
      </c>
    </row>
    <row r="15">
      <c r="A15" s="9" t="inlineStr">
        <is>
          <t>Front/rear fans</t>
        </is>
      </c>
      <c r="B15" s="7" t="inlineStr">
        <is>
          <t>Thermalright TL-M12Q X3 ARGB 3-pack, black</t>
        </is>
      </c>
      <c r="E15" s="22">
        <v>18.49</v>
      </c>
      <c r="G15" s="20">
        <v>19.0</v>
      </c>
      <c r="O15" s="21">
        <f>IFERROR(MIN(C15:N15),"")</f>
        <v>18.49</v>
      </c>
    </row>
    <row r="16">
      <c r="A16" s="9" t="inlineStr">
        <is>
          <t>ARGB splitter</t>
        </is>
      </c>
      <c r="B16" s="7" t="inlineStr">
        <is>
          <t>Kolink ARGB 1-to-3 splitter cable (5V 3-pin, 30cm)</t>
        </is>
      </c>
      <c r="C16" s="22">
        <v>0.85</v>
      </c>
      <c r="E16" s="20">
        <v>6.99</v>
      </c>
      <c r="O16" s="21">
        <f>IFERROR(MIN(C16:N16),"")</f>
        <v>0.85</v>
      </c>
    </row>
    <row r="17">
      <c r="A17" s="9" t="inlineStr">
        <is>
          <t>Windows</t>
        </is>
      </c>
      <c r="B17" s="7" t="inlineStr">
        <is>
          <t>Windows 11 Home (full licence)</t>
        </is>
      </c>
      <c r="D17" s="20">
        <v>118.1</v>
      </c>
      <c r="E17" s="22">
        <v>119.0</v>
      </c>
      <c r="H17" s="20">
        <v>119.99</v>
      </c>
      <c r="M17" s="20">
        <v>119.99</v>
      </c>
      <c r="O17" s="21">
        <f>IFERROR(MIN(C17:N17),"")</f>
        <v>118.1</v>
      </c>
    </row>
    <row r="19">
      <c r="B19" s="10" t="inlineStr">
        <is>
          <t>NI delivery for a single order</t>
        </is>
      </c>
      <c r="C19" s="49" t="inlineStr">
        <is>
          <t>£19.99</t>
        </is>
      </c>
      <c r="D19" s="49" t="inlineStr">
        <is>
          <t>est. £15.00</t>
        </is>
      </c>
      <c r="E19" s="49" t="inlineStr">
        <is>
          <t>free</t>
        </is>
      </c>
      <c r="F19" s="49" t="inlineStr">
        <is>
          <t>free</t>
        </is>
      </c>
      <c r="G19" s="49" t="inlineStr">
        <is>
          <t>£5.00</t>
        </is>
      </c>
      <c r="H19" s="49" t="inlineStr">
        <is>
          <t>£13.19</t>
        </is>
      </c>
      <c r="I19" s="49" t="inlineStr">
        <is>
          <t>at checkout</t>
        </is>
      </c>
      <c r="J19" s="49" t="inlineStr">
        <is>
          <t>est. £15.00</t>
        </is>
      </c>
      <c r="K19" s="49" t="inlineStr">
        <is>
          <t>free</t>
        </is>
      </c>
      <c r="L19" s="49" t="inlineStr">
        <is>
          <t>at checkout</t>
        </is>
      </c>
      <c r="M19" s="49" t="inlineStr">
        <is>
          <t>free</t>
        </is>
      </c>
      <c r="N19" s="49" t="inlineStr">
        <is>
          <t>est. £15.00</t>
        </is>
      </c>
    </row>
  </sheetData>
  <hyperlinks>
    <hyperlink ref="C5" r:id="rId1"/>
    <hyperlink ref="D5" r:id="rId2"/>
    <hyperlink ref="F5" r:id="rId3"/>
    <hyperlink ref="I5" r:id="rId4"/>
    <hyperlink ref="J5" r:id="rId5"/>
    <hyperlink ref="K5" r:id="rId6"/>
    <hyperlink ref="E6" r:id="rId7"/>
    <hyperlink ref="G6" r:id="rId8"/>
    <hyperlink ref="C7" r:id="rId9"/>
    <hyperlink ref="D7" r:id="rId10"/>
    <hyperlink ref="F7" r:id="rId11"/>
    <hyperlink ref="H7" r:id="rId12"/>
    <hyperlink ref="J7" r:id="rId13"/>
    <hyperlink ref="C8" r:id="rId14"/>
    <hyperlink ref="I8" r:id="rId15"/>
    <hyperlink ref="C9" r:id="rId16"/>
    <hyperlink ref="D9" r:id="rId17"/>
    <hyperlink ref="H9" r:id="rId18"/>
    <hyperlink ref="K9" r:id="rId19"/>
    <hyperlink ref="C10" r:id="rId20"/>
    <hyperlink ref="D10" r:id="rId21"/>
    <hyperlink ref="F10" r:id="rId22"/>
    <hyperlink ref="C11" r:id="rId23"/>
    <hyperlink ref="D11" r:id="rId24"/>
    <hyperlink ref="F11" r:id="rId25"/>
    <hyperlink ref="H11" r:id="rId26"/>
    <hyperlink ref="I11" r:id="rId27"/>
    <hyperlink ref="L11" r:id="rId28"/>
    <hyperlink ref="C12" r:id="rId29"/>
    <hyperlink ref="N12" r:id="rId30"/>
    <hyperlink ref="E13" r:id="rId31"/>
    <hyperlink ref="G13" r:id="rId32"/>
    <hyperlink ref="E14" r:id="rId33"/>
    <hyperlink ref="G14" r:id="rId34"/>
    <hyperlink ref="E15" r:id="rId35"/>
    <hyperlink ref="G15" r:id="rId36"/>
    <hyperlink ref="C16" r:id="rId37"/>
    <hyperlink ref="E16" r:id="rId38"/>
    <hyperlink ref="D17" r:id="rId39"/>
    <hyperlink ref="E17" r:id="rId40"/>
    <hyperlink ref="H17" r:id="rId41"/>
    <hyperlink ref="M17" r:id="rId42"/>
  </hyperlinks>
  <pageMargins left="0.4" right="0.4" top="0.5" bottom="0.5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563EB"/>
    <pageSetUpPr fitToPage="1"/>
  </sheetPr>
  <dimension ref="A1:K46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6"/>
  <cols>
    <col min="1" max="1" width="15" customWidth="1"/>
    <col min="2" max="2" width="30" customWidth="1"/>
    <col min="3" max="3" width="17" customWidth="1"/>
    <col min="4" max="4" width="54" customWidth="1"/>
    <col min="5" max="5" width="10" customWidth="1"/>
    <col min="6" max="6" width="11" customWidth="1"/>
    <col min="7" max="7" width="10" customWidth="1"/>
    <col min="8" max="8" width="12" customWidth="1"/>
    <col min="9" max="9" width="24" customWidth="1"/>
    <col min="10" max="10" width="7" customWidth="1"/>
    <col min="11" max="11" width="7" customWidth="1"/>
  </cols>
  <sheetData>
    <row r="1" ht="26" customHeight="1">
      <c r="A1" s="1" t="inlineStr">
        <is>
          <t>Every offer found this run</t>
        </is>
      </c>
    </row>
    <row r="2">
      <c r="A2" s="2" t="inlineStr">
        <is>
          <t>Vetted UK shops only (marketplaces, used stock and shops that don't deliver to NI are left out) · Landed = item + NI delivery for a single-item order · updated Sat 24 Oct 2026, 18:21 UK</t>
        </is>
      </c>
    </row>
    <row r="4">
      <c r="A4" s="3" t="inlineStr">
        <is>
          <t>Slot</t>
        </is>
      </c>
      <c r="B4" s="3" t="inlineStr">
        <is>
          <t>Part</t>
        </is>
      </c>
      <c r="C4" s="3" t="inlineStr">
        <is>
          <t>Shop</t>
        </is>
      </c>
      <c r="D4" s="3" t="inlineStr">
        <is>
          <t>Listing</t>
        </is>
      </c>
      <c r="E4" s="4" t="inlineStr">
        <is>
          <t>Price</t>
        </is>
      </c>
      <c r="F4" s="4" t="inlineStr">
        <is>
          <t>NI delivery</t>
        </is>
      </c>
      <c r="G4" s="4" t="inlineStr">
        <is>
          <t>Landed</t>
        </is>
      </c>
      <c r="H4" s="3" t="inlineStr">
        <is>
          <t>Stock</t>
        </is>
      </c>
      <c r="I4" s="3" t="inlineStr">
        <is>
          <t>Source</t>
        </is>
      </c>
      <c r="J4" s="3" t="inlineStr">
        <is>
          <t>Pick?</t>
        </is>
      </c>
      <c r="K4" s="3" t="inlineStr">
        <is>
          <t>Link</t>
        </is>
      </c>
    </row>
    <row r="5">
      <c r="A5" s="9" t="inlineStr">
        <is>
          <t>CPU</t>
        </is>
      </c>
      <c r="B5" s="10" t="inlineStr">
        <is>
          <t>AMD Ryzen 5 7500X3D (retail box)</t>
        </is>
      </c>
      <c r="C5" s="9" t="inlineStr">
        <is>
          <t>Amazon UK</t>
        </is>
      </c>
      <c r="D5" s="10" t="inlineStr">
        <is>
          <t>AMD Ryzen 5 7500X3D BOX</t>
        </is>
      </c>
      <c r="E5" s="22">
        <v>205.99</v>
      </c>
      <c r="F5" s="20">
        <v>0.0</v>
      </c>
      <c r="G5" s="20">
        <f>E5+F5</f>
        <v>205.99</v>
      </c>
      <c r="H5" s="33" t="inlineStr">
        <is>
          <t>In stock</t>
        </is>
      </c>
      <c r="I5" s="10" t="inlineStr">
        <is>
          <t>PriceSpy UK</t>
        </is>
      </c>
      <c r="J5" s="33" t="inlineStr">
        <is>
          <t>✓</t>
        </is>
      </c>
      <c r="K5" s="32" t="inlineStr">
        <is>
          <t>Open</t>
        </is>
      </c>
    </row>
    <row r="6">
      <c r="A6" s="7" t="inlineStr">
        <is>
          <t>CPU</t>
        </is>
      </c>
      <c r="B6" s="10" t="inlineStr">
        <is>
          <t>AMD Ryzen 5 7500X3D (retail box)</t>
        </is>
      </c>
      <c r="C6" s="7" t="inlineStr">
        <is>
          <t>Box</t>
        </is>
      </c>
      <c r="D6" s="10" t="inlineStr">
        <is>
          <t>AMD Ryzen 5 7500X3D Zen4 Socket AM5 Processor</t>
        </is>
      </c>
      <c r="E6" s="20">
        <v>208.99</v>
      </c>
      <c r="F6" s="20">
        <v>15.0</v>
      </c>
      <c r="G6" s="20">
        <f>E6+F6</f>
        <v>223.99</v>
      </c>
      <c r="H6" s="33" t="inlineStr">
        <is>
          <t>In stock</t>
        </is>
      </c>
      <c r="I6" s="10" t="inlineStr">
        <is>
          <t>PriceSpy UK</t>
        </is>
      </c>
      <c r="J6" s="33"/>
      <c r="K6" s="32" t="inlineStr">
        <is>
          <t>Open</t>
        </is>
      </c>
    </row>
    <row r="7">
      <c r="A7" s="7" t="inlineStr">
        <is>
          <t>CPU</t>
        </is>
      </c>
      <c r="B7" s="10" t="inlineStr">
        <is>
          <t>AMD Ryzen 5 7500X3D (retail box)</t>
        </is>
      </c>
      <c r="C7" s="7" t="inlineStr">
        <is>
          <t>Overclockers UK</t>
        </is>
      </c>
      <c r="D7" s="10" t="inlineStr">
        <is>
          <t>AMD Ryzen 5 7500X3D Six Core 4.5GHz (Socket AM5) Processor - Retail</t>
        </is>
      </c>
      <c r="E7" s="20">
        <v>209.99</v>
      </c>
      <c r="F7" s="20">
        <v>19.99</v>
      </c>
      <c r="G7" s="20">
        <f>E7+F7</f>
        <v>229.98</v>
      </c>
      <c r="H7" s="33" t="inlineStr">
        <is>
          <t>In stock</t>
        </is>
      </c>
      <c r="I7" s="10" t="inlineStr">
        <is>
          <t>Shop page (live)</t>
        </is>
      </c>
      <c r="J7" s="33"/>
      <c r="K7" s="32" t="inlineStr">
        <is>
          <t>Open</t>
        </is>
      </c>
    </row>
    <row r="8">
      <c r="A8" s="7" t="inlineStr">
        <is>
          <t>CPU</t>
        </is>
      </c>
      <c r="B8" s="10" t="inlineStr">
        <is>
          <t>AMD Ryzen 5 7500X3D (retail box)</t>
        </is>
      </c>
      <c r="C8" s="7" t="inlineStr">
        <is>
          <t>Very</t>
        </is>
      </c>
      <c r="D8" s="10" t="inlineStr">
        <is>
          <t>Amd Ryzen 5 7500X3D Am5 Processor</t>
        </is>
      </c>
      <c r="E8" s="20">
        <v>250.0</v>
      </c>
      <c r="F8" s="20">
        <v>0.0</v>
      </c>
      <c r="G8" s="20">
        <f>E8+F8</f>
        <v>250.0</v>
      </c>
      <c r="H8" s="33" t="inlineStr">
        <is>
          <t>In stock</t>
        </is>
      </c>
      <c r="I8" s="10" t="inlineStr">
        <is>
          <t>PriceSpy UK</t>
        </is>
      </c>
      <c r="J8" s="33"/>
      <c r="K8" s="32" t="inlineStr">
        <is>
          <t>Open</t>
        </is>
      </c>
    </row>
    <row r="9">
      <c r="A9" s="7" t="inlineStr">
        <is>
          <t>CPU</t>
        </is>
      </c>
      <c r="B9" s="10" t="inlineStr">
        <is>
          <t>AMD Ryzen 5 7500X3D (retail box)</t>
        </is>
      </c>
      <c r="C9" s="7" t="inlineStr">
        <is>
          <t>AWD-IT</t>
        </is>
      </c>
      <c r="D9" s="10" t="inlineStr">
        <is>
          <t>AMD Ryzen 5 7500X3D Six Core Socket AM5 Processor - Retail - 100-100001904WOF</t>
        </is>
      </c>
      <c r="E9" s="20">
        <v>239.99</v>
      </c>
      <c r="F9" s="20">
        <v>15.0</v>
      </c>
      <c r="G9" s="20">
        <f>E9+F9</f>
        <v>254.99</v>
      </c>
      <c r="H9" s="33" t="inlineStr">
        <is>
          <t>In stock</t>
        </is>
      </c>
      <c r="I9" s="10" t="inlineStr">
        <is>
          <t>PriceSpy UK</t>
        </is>
      </c>
      <c r="J9" s="33"/>
      <c r="K9" s="32" t="inlineStr">
        <is>
          <t>Open</t>
        </is>
      </c>
    </row>
    <row r="10">
      <c r="A10" s="7" t="inlineStr">
        <is>
          <t>CPU</t>
        </is>
      </c>
      <c r="B10" s="10" t="inlineStr">
        <is>
          <t>AMD Ryzen 5 7500X3D (retail box)</t>
        </is>
      </c>
      <c r="C10" s="7" t="inlineStr">
        <is>
          <t>Currys</t>
        </is>
      </c>
      <c r="D10" s="10" t="inlineStr">
        <is>
          <t>AMD Ryzen™ 5 7500X3D Processor</t>
        </is>
      </c>
      <c r="E10" s="23">
        <v>229.0</v>
      </c>
      <c r="F10" s="20">
        <v>0.0</v>
      </c>
      <c r="G10" s="20">
        <f>E10+F10</f>
        <v>229.0</v>
      </c>
      <c r="H10" s="35" t="inlineStr">
        <is>
          <t>Unknown</t>
        </is>
      </c>
      <c r="I10" s="10" t="inlineStr">
        <is>
          <t>PriceSpy UK</t>
        </is>
      </c>
      <c r="J10" s="33"/>
      <c r="K10" s="32" t="inlineStr">
        <is>
          <t>Open</t>
        </is>
      </c>
    </row>
    <row r="11">
      <c r="A11" s="9" t="inlineStr">
        <is>
          <t>CPU cooler</t>
        </is>
      </c>
      <c r="B11" s="10" t="inlineStr">
        <is>
          <t>Thermalright Frozen Warframe 360 Ultra ARGB, black (2.88" 480×480 LCD pump)</t>
        </is>
      </c>
      <c r="C11" s="9" t="inlineStr">
        <is>
          <t>Amazon UK (Prime)</t>
        </is>
      </c>
      <c r="D11" s="10" t="inlineStr">
        <is>
          <t>Thermalright Frozen Warframe 360 Ultra ARGB, black (2.88" 480×480 LCD pump)</t>
        </is>
      </c>
      <c r="E11" s="22">
        <v>77.9</v>
      </c>
      <c r="F11" s="20">
        <v>0.0</v>
      </c>
      <c r="G11" s="20">
        <f>E11+F11</f>
        <v>77.9</v>
      </c>
      <c r="H11" s="33" t="inlineStr">
        <is>
          <t>In stock</t>
        </is>
      </c>
      <c r="I11" s="10" t="inlineStr">
        <is>
          <t>Checked by sweep 24 Oct</t>
        </is>
      </c>
      <c r="J11" s="33" t="inlineStr">
        <is>
          <t>✓</t>
        </is>
      </c>
      <c r="K11" s="32" t="inlineStr">
        <is>
          <t>Open</t>
        </is>
      </c>
    </row>
    <row r="12">
      <c r="A12" s="7" t="inlineStr">
        <is>
          <t>CPU cooler</t>
        </is>
      </c>
      <c r="B12" s="10" t="inlineStr">
        <is>
          <t>Thermalright Frozen Warframe 360 Ultra ARGB, black (2.88" 480×480 LCD pump)</t>
        </is>
      </c>
      <c r="C12" s="7" t="inlineStr">
        <is>
          <t>Computer Orbit</t>
        </is>
      </c>
      <c r="D12" s="10" t="inlineStr">
        <is>
          <t>Thermalright Frozen Warframe 360 ULTRA Black ARGB LCD AIO Liquid Cooler</t>
        </is>
      </c>
      <c r="E12" s="20">
        <v>85.0</v>
      </c>
      <c r="F12" s="20">
        <v>5.0</v>
      </c>
      <c r="G12" s="20">
        <f>E12+F12</f>
        <v>90.0</v>
      </c>
      <c r="H12" s="33" t="inlineStr">
        <is>
          <t>In stock</t>
        </is>
      </c>
      <c r="I12" s="10" t="inlineStr">
        <is>
          <t>Shop page (live)</t>
        </is>
      </c>
      <c r="J12" s="33"/>
      <c r="K12" s="32" t="inlineStr">
        <is>
          <t>Open</t>
        </is>
      </c>
    </row>
    <row r="13">
      <c r="A13" s="9" t="inlineStr">
        <is>
          <t>Motherboard</t>
        </is>
      </c>
      <c r="B13" s="10" t="inlineStr">
        <is>
          <t>MSI MAG B850M Mortar WiFi</t>
        </is>
      </c>
      <c r="C13" s="9" t="inlineStr">
        <is>
          <t>Amazon UK</t>
        </is>
      </c>
      <c r="D13" s="10" t="inlineStr">
        <is>
          <t>MSI MAG B850M MORTAR WIFI Motherboard, mATX - Ryzen 9000/8000/7000, AM5 | AMD Ryzen 9000 / 8000 / 7000 CPU, 60A SPS VRM,</t>
        </is>
      </c>
      <c r="E13" s="22">
        <v>169.99</v>
      </c>
      <c r="F13" s="20">
        <v>0.0</v>
      </c>
      <c r="G13" s="20">
        <f>E13+F13</f>
        <v>169.99</v>
      </c>
      <c r="H13" s="33" t="inlineStr">
        <is>
          <t>In stock</t>
        </is>
      </c>
      <c r="I13" s="10" t="inlineStr">
        <is>
          <t>PriceSpy UK</t>
        </is>
      </c>
      <c r="J13" s="33" t="inlineStr">
        <is>
          <t>✓</t>
        </is>
      </c>
      <c r="K13" s="32" t="inlineStr">
        <is>
          <t>Open</t>
        </is>
      </c>
    </row>
    <row r="14">
      <c r="A14" s="7" t="inlineStr">
        <is>
          <t>Motherboard</t>
        </is>
      </c>
      <c r="B14" s="10" t="inlineStr">
        <is>
          <t>MSI MAG B850M Mortar WiFi</t>
        </is>
      </c>
      <c r="C14" s="7" t="inlineStr">
        <is>
          <t>Box</t>
        </is>
      </c>
      <c r="D14" s="10" t="inlineStr">
        <is>
          <t>MSI MAG B850M MORTAR WIFI Micro-ATX AMD Socket AM5 Motherboard</t>
        </is>
      </c>
      <c r="E14" s="20">
        <v>169.86</v>
      </c>
      <c r="F14" s="20">
        <v>4.95</v>
      </c>
      <c r="G14" s="20">
        <f>E14+F14</f>
        <v>174.81</v>
      </c>
      <c r="H14" s="33" t="inlineStr">
        <is>
          <t>In stock</t>
        </is>
      </c>
      <c r="I14" s="10" t="inlineStr">
        <is>
          <t>PriceSpy UK</t>
        </is>
      </c>
      <c r="J14" s="33"/>
      <c r="K14" s="32" t="inlineStr">
        <is>
          <t>Open</t>
        </is>
      </c>
    </row>
    <row r="15">
      <c r="A15" s="7" t="inlineStr">
        <is>
          <t>Motherboard</t>
        </is>
      </c>
      <c r="B15" s="10" t="inlineStr">
        <is>
          <t>MSI MAG B850M Mortar WiFi</t>
        </is>
      </c>
      <c r="C15" s="7" t="inlineStr">
        <is>
          <t>Scan</t>
        </is>
      </c>
      <c r="D15" s="10" t="inlineStr">
        <is>
          <t>MSI MAG B850M MORTAR WIFI AM5 DDR5 PCIe 5.0 ATX Motherboard</t>
        </is>
      </c>
      <c r="E15" s="20">
        <v>169.99</v>
      </c>
      <c r="F15" s="20">
        <v>13.19</v>
      </c>
      <c r="G15" s="20">
        <f>E15+F15</f>
        <v>183.18</v>
      </c>
      <c r="H15" s="33" t="inlineStr">
        <is>
          <t>In stock</t>
        </is>
      </c>
      <c r="I15" s="10" t="inlineStr">
        <is>
          <t>PriceSpy UK</t>
        </is>
      </c>
      <c r="J15" s="33"/>
      <c r="K15" s="32" t="inlineStr">
        <is>
          <t>Open</t>
        </is>
      </c>
    </row>
    <row r="16">
      <c r="A16" s="7" t="inlineStr">
        <is>
          <t>Motherboard</t>
        </is>
      </c>
      <c r="B16" s="10" t="inlineStr">
        <is>
          <t>MSI MAG B850M Mortar WiFi</t>
        </is>
      </c>
      <c r="C16" s="7" t="inlineStr">
        <is>
          <t>Overclockers UK</t>
        </is>
      </c>
      <c r="D16" s="10" t="inlineStr">
        <is>
          <t>MSI MAG B850M MORTAR WIFI (AMD AM5) B850 micro-ATX Motherboard</t>
        </is>
      </c>
      <c r="E16" s="20">
        <v>169.99</v>
      </c>
      <c r="F16" s="20">
        <v>19.99</v>
      </c>
      <c r="G16" s="20">
        <f>E16+F16</f>
        <v>189.98</v>
      </c>
      <c r="H16" s="33" t="inlineStr">
        <is>
          <t>In stock</t>
        </is>
      </c>
      <c r="I16" s="10" t="inlineStr">
        <is>
          <t>Shop page (live)</t>
        </is>
      </c>
      <c r="J16" s="33"/>
      <c r="K16" s="32" t="inlineStr">
        <is>
          <t>Open</t>
        </is>
      </c>
    </row>
    <row r="17">
      <c r="A17" s="7" t="inlineStr">
        <is>
          <t>Motherboard</t>
        </is>
      </c>
      <c r="B17" s="10" t="inlineStr">
        <is>
          <t>MSI MAG B850M Mortar WiFi</t>
        </is>
      </c>
      <c r="C17" s="7" t="inlineStr">
        <is>
          <t>AWD-IT</t>
        </is>
      </c>
      <c r="D17" s="10" t="inlineStr">
        <is>
          <t>MSI MAG B850M MORTAR WIFI AM5 DDR5 MATX Motherboard</t>
        </is>
      </c>
      <c r="E17" s="20">
        <v>187.17</v>
      </c>
      <c r="F17" s="20">
        <v>15.0</v>
      </c>
      <c r="G17" s="20">
        <f>E17+F17</f>
        <v>202.17</v>
      </c>
      <c r="H17" s="33" t="inlineStr">
        <is>
          <t>In stock</t>
        </is>
      </c>
      <c r="I17" s="10" t="inlineStr">
        <is>
          <t>PriceSpy UK</t>
        </is>
      </c>
      <c r="J17" s="33"/>
      <c r="K17" s="32" t="inlineStr">
        <is>
          <t>Open</t>
        </is>
      </c>
    </row>
    <row r="18">
      <c r="A18" s="9" t="inlineStr">
        <is>
          <t>RAM</t>
        </is>
      </c>
      <c r="B18" s="10" t="inlineStr">
        <is>
          <t>KLEVV FIT V 32GB (2×16GB) DDR5-6000 CL28, black</t>
        </is>
      </c>
      <c r="C18" s="9" t="inlineStr">
        <is>
          <t>Overclockers UK</t>
        </is>
      </c>
      <c r="D18" s="10" t="inlineStr">
        <is>
          <t>KLEVV FIT V EXPO 32GB (2x16GB) 6000MHz C28 DDR5 Dual Channel Kit - Black</t>
        </is>
      </c>
      <c r="E18" s="22">
        <v>399.95</v>
      </c>
      <c r="F18" s="20">
        <v>19.99</v>
      </c>
      <c r="G18" s="20">
        <f>E18+F18</f>
        <v>419.94</v>
      </c>
      <c r="H18" s="33" t="inlineStr">
        <is>
          <t>In stock</t>
        </is>
      </c>
      <c r="I18" s="10" t="inlineStr">
        <is>
          <t>Shop page (live)</t>
        </is>
      </c>
      <c r="J18" s="33" t="inlineStr">
        <is>
          <t>✓</t>
        </is>
      </c>
      <c r="K18" s="32" t="inlineStr">
        <is>
          <t>Open</t>
        </is>
      </c>
    </row>
    <row r="19">
      <c r="A19" s="7" t="inlineStr">
        <is>
          <t>RAM</t>
        </is>
      </c>
      <c r="B19" s="10" t="inlineStr">
        <is>
          <t>KLEVV FIT V 32GB (2×16GB) DDR5-6000 CL28, black</t>
        </is>
      </c>
      <c r="C19" s="7" t="inlineStr">
        <is>
          <t>Currys</t>
        </is>
      </c>
      <c r="D19" s="10" t="inlineStr">
        <is>
          <t>KLEVV FIT V 32GB (2×16GB) DDR5-6000 CL28, black</t>
        </is>
      </c>
      <c r="E19" s="20">
        <v>489.0</v>
      </c>
      <c r="F19" s="20">
        <v>0.0</v>
      </c>
      <c r="G19" s="20">
        <f>E19+F19</f>
        <v>489.0</v>
      </c>
      <c r="H19" s="33" t="inlineStr">
        <is>
          <t>In stock</t>
        </is>
      </c>
      <c r="I19" s="10" t="inlineStr">
        <is>
          <t>Checked by sweep 22 Oct</t>
        </is>
      </c>
      <c r="J19" s="33"/>
      <c r="K19" s="32" t="inlineStr">
        <is>
          <t>Open</t>
        </is>
      </c>
    </row>
    <row r="20">
      <c r="A20" s="9" t="inlineStr">
        <is>
          <t>GPU</t>
        </is>
      </c>
      <c r="B20" s="10" t="inlineStr">
        <is>
          <t>PowerColor Radeon RX 9070 XT Reaper 16GB</t>
        </is>
      </c>
      <c r="C20" s="9" t="inlineStr">
        <is>
          <t>Overclockers UK</t>
        </is>
      </c>
      <c r="D20" s="10" t="inlineStr">
        <is>
          <t>PowerColor Radeon RX 9070 XT Reaper 16GB GDDR6 PCI-Express Graphics Card</t>
        </is>
      </c>
      <c r="E20" s="22">
        <v>749.99</v>
      </c>
      <c r="F20" s="20">
        <v>19.99</v>
      </c>
      <c r="G20" s="20">
        <f>E20+F20</f>
        <v>769.98</v>
      </c>
      <c r="H20" s="33" t="inlineStr">
        <is>
          <t>In stock</t>
        </is>
      </c>
      <c r="I20" s="10" t="inlineStr">
        <is>
          <t>Shop page (live)</t>
        </is>
      </c>
      <c r="J20" s="33" t="inlineStr">
        <is>
          <t>✓</t>
        </is>
      </c>
      <c r="K20" s="32" t="inlineStr">
        <is>
          <t>Open</t>
        </is>
      </c>
    </row>
    <row r="21">
      <c r="A21" s="7" t="inlineStr">
        <is>
          <t>GPU</t>
        </is>
      </c>
      <c r="B21" s="10" t="inlineStr">
        <is>
          <t>PowerColor Radeon RX 9070 XT Reaper 16GB</t>
        </is>
      </c>
      <c r="C21" s="7" t="inlineStr">
        <is>
          <t>Scan</t>
        </is>
      </c>
      <c r="D21" s="10" t="inlineStr">
        <is>
          <t>PowerColor AMD Radeon RX 9070 XT REAPER 16GB GDDR6 Graphics Card</t>
        </is>
      </c>
      <c r="E21" s="20">
        <v>899.99</v>
      </c>
      <c r="F21" s="20">
        <v>13.19</v>
      </c>
      <c r="G21" s="20">
        <f>E21+F21</f>
        <v>913.18</v>
      </c>
      <c r="H21" s="33" t="inlineStr">
        <is>
          <t>In stock</t>
        </is>
      </c>
      <c r="I21" s="10" t="inlineStr">
        <is>
          <t>PriceSpy UK</t>
        </is>
      </c>
      <c r="J21" s="33"/>
      <c r="K21" s="32" t="inlineStr">
        <is>
          <t>Open</t>
        </is>
      </c>
    </row>
    <row r="22">
      <c r="A22" s="7" t="inlineStr">
        <is>
          <t>GPU</t>
        </is>
      </c>
      <c r="B22" s="10" t="inlineStr">
        <is>
          <t>PowerColor Radeon RX 9070 XT Reaper 16GB</t>
        </is>
      </c>
      <c r="C22" s="7" t="inlineStr">
        <is>
          <t>Very</t>
        </is>
      </c>
      <c r="D22" s="10" t="inlineStr">
        <is>
          <t>Powercolor Rx 9070 Xt 16Gb Reaper</t>
        </is>
      </c>
      <c r="E22" s="20">
        <v>989.0</v>
      </c>
      <c r="F22" s="20">
        <v>0.0</v>
      </c>
      <c r="G22" s="20">
        <f>E22+F22</f>
        <v>989.0</v>
      </c>
      <c r="H22" s="33" t="inlineStr">
        <is>
          <t>In stock</t>
        </is>
      </c>
      <c r="I22" s="10" t="inlineStr">
        <is>
          <t>PriceSpy UK</t>
        </is>
      </c>
      <c r="J22" s="33"/>
      <c r="K22" s="32" t="inlineStr">
        <is>
          <t>Open</t>
        </is>
      </c>
    </row>
    <row r="23">
      <c r="A23" s="7" t="inlineStr">
        <is>
          <t>GPU</t>
        </is>
      </c>
      <c r="B23" s="10" t="inlineStr">
        <is>
          <t>PowerColor Radeon RX 9070 XT Reaper 16GB</t>
        </is>
      </c>
      <c r="C23" s="7" t="inlineStr">
        <is>
          <t>AWD-IT</t>
        </is>
      </c>
      <c r="D23" s="10" t="inlineStr">
        <is>
          <t>PowerColor RX 9070 XT OC 16GB Reaper GDDR6 Graphics Card - RX9070XT 16G-A</t>
        </is>
      </c>
      <c r="E23" s="20">
        <v>1010.95</v>
      </c>
      <c r="F23" s="20">
        <v>15.0</v>
      </c>
      <c r="G23" s="20">
        <f>E23+F23</f>
        <v>1025.95</v>
      </c>
      <c r="H23" s="33" t="inlineStr">
        <is>
          <t>In stock</t>
        </is>
      </c>
      <c r="I23" s="10" t="inlineStr">
        <is>
          <t>PriceSpy UK</t>
        </is>
      </c>
      <c r="J23" s="33"/>
      <c r="K23" s="32" t="inlineStr">
        <is>
          <t>Open</t>
        </is>
      </c>
    </row>
    <row r="24">
      <c r="A24" s="9" t="inlineStr">
        <is>
          <t>SSD</t>
        </is>
      </c>
      <c r="B24" s="10" t="inlineStr">
        <is>
          <t>Crucial P310 2TB NVMe (PCIe 4.0, M.2 2280)</t>
        </is>
      </c>
      <c r="C24" s="9" t="inlineStr">
        <is>
          <t>Amazon UK</t>
        </is>
      </c>
      <c r="D24" s="10" t="inlineStr">
        <is>
          <t>Crucial P310 2TB SSD M.2 2280 NVMe PCIe Gen4, Up to 7,100MB/s, Laptop &amp; Desktop (PC) Compatible, Internal Solid State Dr</t>
        </is>
      </c>
      <c r="E24" s="22">
        <v>199.99</v>
      </c>
      <c r="F24" s="20">
        <v>0.0</v>
      </c>
      <c r="G24" s="20">
        <f>E24+F24</f>
        <v>199.99</v>
      </c>
      <c r="H24" s="33" t="inlineStr">
        <is>
          <t>In stock</t>
        </is>
      </c>
      <c r="I24" s="10" t="inlineStr">
        <is>
          <t>PriceSpy UK</t>
        </is>
      </c>
      <c r="J24" s="33" t="inlineStr">
        <is>
          <t>✓</t>
        </is>
      </c>
      <c r="K24" s="32" t="inlineStr">
        <is>
          <t>Open</t>
        </is>
      </c>
    </row>
    <row r="25">
      <c r="A25" s="7" t="inlineStr">
        <is>
          <t>SSD</t>
        </is>
      </c>
      <c r="B25" s="10" t="inlineStr">
        <is>
          <t>Crucial P310 2TB NVMe (PCIe 4.0, M.2 2280)</t>
        </is>
      </c>
      <c r="C25" s="7" t="inlineStr">
        <is>
          <t>AWD-IT</t>
        </is>
      </c>
      <c r="D25" s="10" t="inlineStr">
        <is>
          <t>Crucial P310 2TB PCIe M.2 Gen 4 NVMe SSD - Read 7100MB/s Write 6000MB/s - CT2000P310SSD8</t>
        </is>
      </c>
      <c r="E25" s="20">
        <v>303.62</v>
      </c>
      <c r="F25" s="20">
        <v>15.0</v>
      </c>
      <c r="G25" s="20">
        <f>E25+F25</f>
        <v>318.62</v>
      </c>
      <c r="H25" s="33" t="inlineStr">
        <is>
          <t>In stock</t>
        </is>
      </c>
      <c r="I25" s="10" t="inlineStr">
        <is>
          <t>PriceSpy UK</t>
        </is>
      </c>
      <c r="J25" s="33"/>
      <c r="K25" s="32" t="inlineStr">
        <is>
          <t>Open</t>
        </is>
      </c>
    </row>
    <row r="26">
      <c r="A26" s="7" t="inlineStr">
        <is>
          <t>SSD</t>
        </is>
      </c>
      <c r="B26" s="10" t="inlineStr">
        <is>
          <t>Crucial P310 2TB NVMe (PCIe 4.0, M.2 2280)</t>
        </is>
      </c>
      <c r="C26" s="7" t="inlineStr">
        <is>
          <t>Overclockers UK</t>
        </is>
      </c>
      <c r="D26" s="10" t="inlineStr">
        <is>
          <t>Crucial P310 2TB M.2 2280 PCI-e 4.0 NVMe Solid State Drive</t>
        </is>
      </c>
      <c r="E26" s="23">
        <v>209.99</v>
      </c>
      <c r="F26" s="20">
        <v>19.99</v>
      </c>
      <c r="G26" s="20">
        <f>E26+F26</f>
        <v>229.98</v>
      </c>
      <c r="H26" s="35" t="inlineStr">
        <is>
          <t>Out of stock</t>
        </is>
      </c>
      <c r="I26" s="10" t="inlineStr">
        <is>
          <t>Shop page (live)</t>
        </is>
      </c>
      <c r="J26" s="33"/>
      <c r="K26" s="32" t="inlineStr">
        <is>
          <t>Open</t>
        </is>
      </c>
    </row>
    <row r="27">
      <c r="A27" s="9" t="inlineStr">
        <is>
          <t>PSU</t>
        </is>
      </c>
      <c r="B27" s="10" t="inlineStr">
        <is>
          <t>Corsair RM850e (2025) Gold, fully modular</t>
        </is>
      </c>
      <c r="C27" s="9" t="inlineStr">
        <is>
          <t>Amazon UK</t>
        </is>
      </c>
      <c r="D27" s="10" t="inlineStr">
        <is>
          <t>CORSAIR RM850e (2025) Fully Modular Low-Noise ATX Power Supply – Black | 12V-2x6 Cable Included, ATX 3.1 &amp; PCIe 5.1 Comp</t>
        </is>
      </c>
      <c r="E27" s="22">
        <v>89.99</v>
      </c>
      <c r="F27" s="20">
        <v>0.0</v>
      </c>
      <c r="G27" s="20">
        <f>E27+F27</f>
        <v>89.99</v>
      </c>
      <c r="H27" s="33" t="inlineStr">
        <is>
          <t>In stock</t>
        </is>
      </c>
      <c r="I27" s="10" t="inlineStr">
        <is>
          <t>PriceSpy UK</t>
        </is>
      </c>
      <c r="J27" s="33" t="inlineStr">
        <is>
          <t>✓</t>
        </is>
      </c>
      <c r="K27" s="32" t="inlineStr">
        <is>
          <t>Open</t>
        </is>
      </c>
    </row>
    <row r="28">
      <c r="A28" s="7" t="inlineStr">
        <is>
          <t>PSU</t>
        </is>
      </c>
      <c r="B28" s="10" t="inlineStr">
        <is>
          <t>Corsair RM850e (2025) Gold, fully modular</t>
        </is>
      </c>
      <c r="C28" s="7" t="inlineStr">
        <is>
          <t>Argos</t>
        </is>
      </c>
      <c r="D28" s="10" t="inlineStr">
        <is>
          <t>CORSAIR RM850e Low-Noise Modular ATX 850W PSU</t>
        </is>
      </c>
      <c r="E28" s="20">
        <v>124.99</v>
      </c>
      <c r="F28" s="20">
        <v>0.0</v>
      </c>
      <c r="G28" s="20">
        <f>E28+F28</f>
        <v>124.99</v>
      </c>
      <c r="H28" s="33" t="inlineStr">
        <is>
          <t>In stock</t>
        </is>
      </c>
      <c r="I28" s="10" t="inlineStr">
        <is>
          <t>PriceSpy UK</t>
        </is>
      </c>
      <c r="J28" s="33"/>
      <c r="K28" s="32" t="inlineStr">
        <is>
          <t>Open</t>
        </is>
      </c>
    </row>
    <row r="29">
      <c r="A29" s="7" t="inlineStr">
        <is>
          <t>PSU</t>
        </is>
      </c>
      <c r="B29" s="10" t="inlineStr">
        <is>
          <t>Corsair RM850e (2025) Gold, fully modular</t>
        </is>
      </c>
      <c r="C29" s="7" t="inlineStr">
        <is>
          <t>Scan</t>
        </is>
      </c>
      <c r="D29" s="10" t="inlineStr">
        <is>
          <t>CORSAIR RMe Series RM850e 850 Watt Cybenetics Gold PCIe 5.1 ATX3.1 PSU</t>
        </is>
      </c>
      <c r="E29" s="20">
        <v>119.99</v>
      </c>
      <c r="F29" s="20">
        <v>13.19</v>
      </c>
      <c r="G29" s="20">
        <f>E29+F29</f>
        <v>133.18</v>
      </c>
      <c r="H29" s="33" t="inlineStr">
        <is>
          <t>In stock</t>
        </is>
      </c>
      <c r="I29" s="10" t="inlineStr">
        <is>
          <t>PriceSpy UK</t>
        </is>
      </c>
      <c r="J29" s="33"/>
      <c r="K29" s="32" t="inlineStr">
        <is>
          <t>Open</t>
        </is>
      </c>
    </row>
    <row r="30">
      <c r="A30" s="7" t="inlineStr">
        <is>
          <t>PSU</t>
        </is>
      </c>
      <c r="B30" s="10" t="inlineStr">
        <is>
          <t>Corsair RM850e (2025) Gold, fully modular</t>
        </is>
      </c>
      <c r="C30" s="7" t="inlineStr">
        <is>
          <t>AWD-IT</t>
        </is>
      </c>
      <c r="D30" s="10" t="inlineStr">
        <is>
          <t>CORSAIR RMe Series RM850e (2025) Fully Modular Cybernetics 80+ Gold - 850W - ATX 3.1 PCIe 5.1 ATX Power Supply - CP-9020</t>
        </is>
      </c>
      <c r="E30" s="20">
        <v>119.99</v>
      </c>
      <c r="F30" s="20">
        <v>15.0</v>
      </c>
      <c r="G30" s="20">
        <f>E30+F30</f>
        <v>134.99</v>
      </c>
      <c r="H30" s="33" t="inlineStr">
        <is>
          <t>In stock</t>
        </is>
      </c>
      <c r="I30" s="10" t="inlineStr">
        <is>
          <t>PriceSpy UK</t>
        </is>
      </c>
      <c r="J30" s="33"/>
      <c r="K30" s="32" t="inlineStr">
        <is>
          <t>Open</t>
        </is>
      </c>
    </row>
    <row r="31">
      <c r="A31" s="7" t="inlineStr">
        <is>
          <t>PSU</t>
        </is>
      </c>
      <c r="B31" s="10" t="inlineStr">
        <is>
          <t>Corsair RM850e (2025) Gold, fully modular</t>
        </is>
      </c>
      <c r="C31" s="7" t="inlineStr">
        <is>
          <t>Overclockers UK</t>
        </is>
      </c>
      <c r="D31" s="10" t="inlineStr">
        <is>
          <t>Corsair RMe Series RM850e 850W ATX 3.1 PCIe 5.1 Cybenetics Gold Modular Power Supply</t>
        </is>
      </c>
      <c r="E31" s="20">
        <v>119.99</v>
      </c>
      <c r="F31" s="20">
        <v>19.99</v>
      </c>
      <c r="G31" s="20">
        <f>E31+F31</f>
        <v>139.98</v>
      </c>
      <c r="H31" s="33" t="inlineStr">
        <is>
          <t>In stock</t>
        </is>
      </c>
      <c r="I31" s="10" t="inlineStr">
        <is>
          <t>Shop page (live)</t>
        </is>
      </c>
      <c r="J31" s="33"/>
      <c r="K31" s="32" t="inlineStr">
        <is>
          <t>Open</t>
        </is>
      </c>
    </row>
    <row r="32">
      <c r="A32" s="7" t="inlineStr">
        <is>
          <t>PSU</t>
        </is>
      </c>
      <c r="B32" s="10" t="inlineStr">
        <is>
          <t>Corsair RM850e (2025) Gold, fully modular</t>
        </is>
      </c>
      <c r="C32" s="7" t="inlineStr">
        <is>
          <t>Currys</t>
        </is>
      </c>
      <c r="D32" s="10" t="inlineStr">
        <is>
          <t>CORSAIR Low-Noise RM850e Modular ATX PSU - 850 W</t>
        </is>
      </c>
      <c r="E32" s="23">
        <v>119.9</v>
      </c>
      <c r="F32" s="20">
        <v>0.0</v>
      </c>
      <c r="G32" s="20">
        <f>E32+F32</f>
        <v>119.9</v>
      </c>
      <c r="H32" s="35" t="inlineStr">
        <is>
          <t>Unknown</t>
        </is>
      </c>
      <c r="I32" s="10" t="inlineStr">
        <is>
          <t>PriceSpy UK</t>
        </is>
      </c>
      <c r="J32" s="33"/>
      <c r="K32" s="32" t="inlineStr">
        <is>
          <t>Open</t>
        </is>
      </c>
    </row>
    <row r="33">
      <c r="A33" s="9" t="inlineStr">
        <is>
          <t>Case</t>
        </is>
      </c>
      <c r="B33" s="10" t="inlineStr">
        <is>
          <t>Jonsbo D33 STD, black (tempered glass)</t>
        </is>
      </c>
      <c r="C33" s="9" t="inlineStr">
        <is>
          <t>Watercooling UK</t>
        </is>
      </c>
      <c r="D33" s="10" t="inlineStr">
        <is>
          <t>Jonsbo D33 STD, black (tempered glass)</t>
        </is>
      </c>
      <c r="E33" s="22">
        <v>79.91</v>
      </c>
      <c r="F33" s="20">
        <v>15.0</v>
      </c>
      <c r="G33" s="20">
        <f>E33+F33</f>
        <v>94.91</v>
      </c>
      <c r="H33" s="33" t="inlineStr">
        <is>
          <t>In stock</t>
        </is>
      </c>
      <c r="I33" s="10" t="inlineStr">
        <is>
          <t>Checked by sweep 24 Oct</t>
        </is>
      </c>
      <c r="J33" s="33" t="inlineStr">
        <is>
          <t>✓</t>
        </is>
      </c>
      <c r="K33" s="32" t="inlineStr">
        <is>
          <t>Open</t>
        </is>
      </c>
    </row>
    <row r="34">
      <c r="A34" s="7" t="inlineStr">
        <is>
          <t>Case</t>
        </is>
      </c>
      <c r="B34" s="10" t="inlineStr">
        <is>
          <t>Jonsbo D33 STD, black (tempered glass)</t>
        </is>
      </c>
      <c r="C34" s="7" t="inlineStr">
        <is>
          <t>Overclockers UK</t>
        </is>
      </c>
      <c r="D34" s="10" t="inlineStr">
        <is>
          <t>Jonsbo D33 STD Tempered Glass MATX Case - Black</t>
        </is>
      </c>
      <c r="E34" s="23">
        <v>79.99</v>
      </c>
      <c r="F34" s="20">
        <v>19.99</v>
      </c>
      <c r="G34" s="20">
        <f>E34+F34</f>
        <v>99.98</v>
      </c>
      <c r="H34" s="35" t="inlineStr">
        <is>
          <t>Pre-order</t>
        </is>
      </c>
      <c r="I34" s="10" t="inlineStr">
        <is>
          <t>Shop page (live)</t>
        </is>
      </c>
      <c r="J34" s="33"/>
      <c r="K34" s="32" t="inlineStr">
        <is>
          <t>Open</t>
        </is>
      </c>
    </row>
    <row r="35">
      <c r="A35" s="9" t="inlineStr">
        <is>
          <t>Front screen</t>
        </is>
      </c>
      <c r="B35" s="10" t="inlineStr">
        <is>
          <t>Thermalright Trofeo Vision 9.16" LCD, black</t>
        </is>
      </c>
      <c r="C35" s="9" t="inlineStr">
        <is>
          <t>Amazon UK (Prime)</t>
        </is>
      </c>
      <c r="D35" s="10" t="inlineStr">
        <is>
          <t>Thermalright Trofeo Vision 9.16" LCD, black</t>
        </is>
      </c>
      <c r="E35" s="22">
        <v>36.9</v>
      </c>
      <c r="F35" s="20">
        <v>0.0</v>
      </c>
      <c r="G35" s="20">
        <f>E35+F35</f>
        <v>36.9</v>
      </c>
      <c r="H35" s="33" t="inlineStr">
        <is>
          <t>In stock</t>
        </is>
      </c>
      <c r="I35" s="10" t="inlineStr">
        <is>
          <t>Checked by sweep 24 Oct</t>
        </is>
      </c>
      <c r="J35" s="33" t="inlineStr">
        <is>
          <t>✓</t>
        </is>
      </c>
      <c r="K35" s="32" t="inlineStr">
        <is>
          <t>Open</t>
        </is>
      </c>
    </row>
    <row r="36">
      <c r="A36" s="7" t="inlineStr">
        <is>
          <t>Front screen</t>
        </is>
      </c>
      <c r="B36" s="10" t="inlineStr">
        <is>
          <t>Thermalright Trofeo Vision 9.16" LCD, black</t>
        </is>
      </c>
      <c r="C36" s="7" t="inlineStr">
        <is>
          <t>Computer Orbit</t>
        </is>
      </c>
      <c r="D36" s="10" t="inlineStr">
        <is>
          <t>Thermalright Trofeo Vision 9.16 LCD Black Display</t>
        </is>
      </c>
      <c r="E36" s="23">
        <v>35.0</v>
      </c>
      <c r="F36" s="20">
        <v>5.0</v>
      </c>
      <c r="G36" s="20">
        <f>E36+F36</f>
        <v>40.0</v>
      </c>
      <c r="H36" s="35" t="inlineStr">
        <is>
          <t>Out of stock</t>
        </is>
      </c>
      <c r="I36" s="10" t="inlineStr">
        <is>
          <t>Shop page (live)</t>
        </is>
      </c>
      <c r="J36" s="33"/>
      <c r="K36" s="32" t="inlineStr">
        <is>
          <t>Open</t>
        </is>
      </c>
    </row>
    <row r="37">
      <c r="A37" s="9" t="inlineStr">
        <is>
          <t>Bottom fans</t>
        </is>
      </c>
      <c r="B37" s="10" t="inlineStr">
        <is>
          <t>Thermalright TL-M12QR X3 reverse-blade ARGB 3-pack, black</t>
        </is>
      </c>
      <c r="C37" s="9" t="inlineStr">
        <is>
          <t>Amazon UK (Prime)</t>
        </is>
      </c>
      <c r="D37" s="10" t="inlineStr">
        <is>
          <t>Thermalright TL-M12QR X3 reverse-blade ARGB 3-pack, black</t>
        </is>
      </c>
      <c r="E37" s="22">
        <v>17.9</v>
      </c>
      <c r="F37" s="20">
        <v>0.0</v>
      </c>
      <c r="G37" s="20">
        <f>E37+F37</f>
        <v>17.9</v>
      </c>
      <c r="H37" s="33" t="inlineStr">
        <is>
          <t>In stock</t>
        </is>
      </c>
      <c r="I37" s="10" t="inlineStr">
        <is>
          <t>Checked by sweep 24 Oct</t>
        </is>
      </c>
      <c r="J37" s="33" t="inlineStr">
        <is>
          <t>✓</t>
        </is>
      </c>
      <c r="K37" s="32" t="inlineStr">
        <is>
          <t>Open</t>
        </is>
      </c>
    </row>
    <row r="38">
      <c r="A38" s="7" t="inlineStr">
        <is>
          <t>Bottom fans</t>
        </is>
      </c>
      <c r="B38" s="10" t="inlineStr">
        <is>
          <t>Thermalright TL-M12QR X3 reverse-blade ARGB 3-pack, black</t>
        </is>
      </c>
      <c r="C38" s="7" t="inlineStr">
        <is>
          <t>Computer Orbit</t>
        </is>
      </c>
      <c r="D38" s="10" t="inlineStr">
        <is>
          <t>Thermalright TL-M12QR X3 Black A-RGB Reverse 120mm PWM Triple Pack</t>
        </is>
      </c>
      <c r="E38" s="20">
        <v>19.0</v>
      </c>
      <c r="F38" s="20">
        <v>5.0</v>
      </c>
      <c r="G38" s="20">
        <f>E38+F38</f>
        <v>24.0</v>
      </c>
      <c r="H38" s="33" t="inlineStr">
        <is>
          <t>In stock</t>
        </is>
      </c>
      <c r="I38" s="10" t="inlineStr">
        <is>
          <t>Shop page (live)</t>
        </is>
      </c>
      <c r="J38" s="33"/>
      <c r="K38" s="32" t="inlineStr">
        <is>
          <t>Open</t>
        </is>
      </c>
    </row>
    <row r="39">
      <c r="A39" s="9" t="inlineStr">
        <is>
          <t>Front/rear fans</t>
        </is>
      </c>
      <c r="B39" s="10" t="inlineStr">
        <is>
          <t>Thermalright TL-M12Q X3 ARGB 3-pack, black</t>
        </is>
      </c>
      <c r="C39" s="9" t="inlineStr">
        <is>
          <t>Amazon UK (Prime)</t>
        </is>
      </c>
      <c r="D39" s="10" t="inlineStr">
        <is>
          <t>Thermalright TL-M12Q X3 ARGB 3-pack, black</t>
        </is>
      </c>
      <c r="E39" s="22">
        <v>18.49</v>
      </c>
      <c r="F39" s="20">
        <v>0.0</v>
      </c>
      <c r="G39" s="20">
        <f>E39+F39</f>
        <v>18.49</v>
      </c>
      <c r="H39" s="33" t="inlineStr">
        <is>
          <t>In stock</t>
        </is>
      </c>
      <c r="I39" s="10" t="inlineStr">
        <is>
          <t>Checked by sweep 24 Oct</t>
        </is>
      </c>
      <c r="J39" s="33" t="inlineStr">
        <is>
          <t>✓</t>
        </is>
      </c>
      <c r="K39" s="32" t="inlineStr">
        <is>
          <t>Open</t>
        </is>
      </c>
    </row>
    <row r="40">
      <c r="A40" s="7" t="inlineStr">
        <is>
          <t>Front/rear fans</t>
        </is>
      </c>
      <c r="B40" s="10" t="inlineStr">
        <is>
          <t>Thermalright TL-M12Q X3 ARGB 3-pack, black</t>
        </is>
      </c>
      <c r="C40" s="7" t="inlineStr">
        <is>
          <t>Computer Orbit</t>
        </is>
      </c>
      <c r="D40" s="10" t="inlineStr">
        <is>
          <t>Thermalright TL-M12Q X3 Black A-RGB 120mm PWM Triple Pack</t>
        </is>
      </c>
      <c r="E40" s="20">
        <v>19.0</v>
      </c>
      <c r="F40" s="20">
        <v>5.0</v>
      </c>
      <c r="G40" s="20">
        <f>E40+F40</f>
        <v>24.0</v>
      </c>
      <c r="H40" s="33" t="inlineStr">
        <is>
          <t>In stock</t>
        </is>
      </c>
      <c r="I40" s="10" t="inlineStr">
        <is>
          <t>Shop page (live)</t>
        </is>
      </c>
      <c r="J40" s="33"/>
      <c r="K40" s="32" t="inlineStr">
        <is>
          <t>Open</t>
        </is>
      </c>
    </row>
    <row r="41">
      <c r="A41" s="7" t="inlineStr">
        <is>
          <t>ARGB splitter</t>
        </is>
      </c>
      <c r="B41" s="10" t="inlineStr">
        <is>
          <t>Kolink ARGB 1-to-3 splitter cable (5V 3-pin, 30cm)</t>
        </is>
      </c>
      <c r="C41" s="7" t="inlineStr">
        <is>
          <t>Amazon UK (Prime)</t>
        </is>
      </c>
      <c r="D41" s="10" t="inlineStr">
        <is>
          <t>Kolink ARGB 1-to-3 splitter cable (5V 3-pin, 30cm)</t>
        </is>
      </c>
      <c r="E41" s="20">
        <v>6.99</v>
      </c>
      <c r="F41" s="20">
        <v>0.0</v>
      </c>
      <c r="G41" s="20">
        <f>E41+F41</f>
        <v>6.99</v>
      </c>
      <c r="H41" s="33" t="inlineStr">
        <is>
          <t>In stock</t>
        </is>
      </c>
      <c r="I41" s="10" t="inlineStr">
        <is>
          <t>Checked by sweep 24 Oct</t>
        </is>
      </c>
      <c r="J41" s="33"/>
      <c r="K41" s="32" t="inlineStr">
        <is>
          <t>Open</t>
        </is>
      </c>
    </row>
    <row r="42">
      <c r="A42" s="9" t="inlineStr">
        <is>
          <t>ARGB splitter</t>
        </is>
      </c>
      <c r="B42" s="10" t="inlineStr">
        <is>
          <t>Kolink ARGB 1-to-3 splitter cable (5V 3-pin, 30cm)</t>
        </is>
      </c>
      <c r="C42" s="9" t="inlineStr">
        <is>
          <t>Overclockers UK</t>
        </is>
      </c>
      <c r="D42" s="10" t="inlineStr">
        <is>
          <t>Kolink ARGB 1-3 Splitter Cable - 30cm</t>
        </is>
      </c>
      <c r="E42" s="22">
        <v>0.85</v>
      </c>
      <c r="F42" s="20">
        <v>19.99</v>
      </c>
      <c r="G42" s="20">
        <f>E42+F42</f>
        <v>20.84</v>
      </c>
      <c r="H42" s="33" t="inlineStr">
        <is>
          <t>In stock</t>
        </is>
      </c>
      <c r="I42" s="10" t="inlineStr">
        <is>
          <t>Shop page (live)</t>
        </is>
      </c>
      <c r="J42" s="33" t="inlineStr">
        <is>
          <t>✓</t>
        </is>
      </c>
      <c r="K42" s="32" t="inlineStr">
        <is>
          <t>Open</t>
        </is>
      </c>
    </row>
    <row r="43">
      <c r="A43" s="9" t="inlineStr">
        <is>
          <t>Windows</t>
        </is>
      </c>
      <c r="B43" s="10" t="inlineStr">
        <is>
          <t>Windows 11 Home (full licence)</t>
        </is>
      </c>
      <c r="C43" s="9" t="inlineStr">
        <is>
          <t>Amazon UK (Prime)</t>
        </is>
      </c>
      <c r="D43" s="10" t="inlineStr">
        <is>
          <t>Windows 11 Home (full licence)</t>
        </is>
      </c>
      <c r="E43" s="22">
        <v>119.0</v>
      </c>
      <c r="F43" s="20">
        <v>0.0</v>
      </c>
      <c r="G43" s="20">
        <f>E43+F43</f>
        <v>119.0</v>
      </c>
      <c r="H43" s="33" t="inlineStr">
        <is>
          <t>In stock</t>
        </is>
      </c>
      <c r="I43" s="10" t="inlineStr">
        <is>
          <t>Checked by sweep 24 Oct</t>
        </is>
      </c>
      <c r="J43" s="33" t="inlineStr">
        <is>
          <t>✓</t>
        </is>
      </c>
      <c r="K43" s="32" t="inlineStr">
        <is>
          <t>Open</t>
        </is>
      </c>
    </row>
    <row r="44">
      <c r="A44" s="7" t="inlineStr">
        <is>
          <t>Windows</t>
        </is>
      </c>
      <c r="B44" s="10" t="inlineStr">
        <is>
          <t>Windows 11 Home (full licence)</t>
        </is>
      </c>
      <c r="C44" s="7" t="inlineStr">
        <is>
          <t>Microsoft Store</t>
        </is>
      </c>
      <c r="D44" s="10" t="inlineStr">
        <is>
          <t>Windows 11 Home (full licence)</t>
        </is>
      </c>
      <c r="E44" s="20">
        <v>119.99</v>
      </c>
      <c r="F44" s="20">
        <v>0.0</v>
      </c>
      <c r="G44" s="20">
        <f>E44+F44</f>
        <v>119.99</v>
      </c>
      <c r="H44" s="33" t="inlineStr">
        <is>
          <t>In stock</t>
        </is>
      </c>
      <c r="I44" s="10" t="inlineStr">
        <is>
          <t>Checked by sweep 24 Oct</t>
        </is>
      </c>
      <c r="J44" s="33"/>
      <c r="K44" s="32" t="inlineStr">
        <is>
          <t>Open</t>
        </is>
      </c>
    </row>
    <row r="45">
      <c r="A45" s="7" t="inlineStr">
        <is>
          <t>Windows</t>
        </is>
      </c>
      <c r="B45" s="10" t="inlineStr">
        <is>
          <t>Windows 11 Home (full licence)</t>
        </is>
      </c>
      <c r="C45" s="7" t="inlineStr">
        <is>
          <t>AWD-IT</t>
        </is>
      </c>
      <c r="D45" s="10" t="inlineStr">
        <is>
          <t>Microsoft Windows 11 Home 64 Bit Operating System OEM DVD - KW9-00632</t>
        </is>
      </c>
      <c r="E45" s="20">
        <v>118.1</v>
      </c>
      <c r="F45" s="20">
        <v>15.0</v>
      </c>
      <c r="G45" s="20">
        <f>E45+F45</f>
        <v>133.1</v>
      </c>
      <c r="H45" s="33" t="inlineStr">
        <is>
          <t>In stock</t>
        </is>
      </c>
      <c r="I45" s="10" t="inlineStr">
        <is>
          <t>PriceSpy UK</t>
        </is>
      </c>
      <c r="J45" s="33"/>
      <c r="K45" s="32" t="inlineStr">
        <is>
          <t>Open</t>
        </is>
      </c>
    </row>
    <row r="46">
      <c r="A46" s="7" t="inlineStr">
        <is>
          <t>Windows</t>
        </is>
      </c>
      <c r="B46" s="10" t="inlineStr">
        <is>
          <t>Windows 11 Home (full licence)</t>
        </is>
      </c>
      <c r="C46" s="7" t="inlineStr">
        <is>
          <t>Scan</t>
        </is>
      </c>
      <c r="D46" s="10" t="inlineStr">
        <is>
          <t>Windows 11 Home 64Bit English OS DVD OEM</t>
        </is>
      </c>
      <c r="E46" s="20">
        <v>119.99</v>
      </c>
      <c r="F46" s="20">
        <v>13.19</v>
      </c>
      <c r="G46" s="20">
        <f>E46+F46</f>
        <v>133.18</v>
      </c>
      <c r="H46" s="33" t="inlineStr">
        <is>
          <t>In stock</t>
        </is>
      </c>
      <c r="I46" s="10" t="inlineStr">
        <is>
          <t>PriceSpy UK</t>
        </is>
      </c>
      <c r="J46" s="33"/>
      <c r="K46" s="32" t="inlineStr">
        <is>
          <t>Open</t>
        </is>
      </c>
    </row>
  </sheetData>
  <autoFilter ref="A4:K46"/>
  <hyperlinks>
    <hyperlink ref="K5" r:id="rId1"/>
    <hyperlink ref="K6" r:id="rId2"/>
    <hyperlink ref="K7" r:id="rId3"/>
    <hyperlink ref="K8" r:id="rId4"/>
    <hyperlink ref="K9" r:id="rId5"/>
    <hyperlink ref="K10" r:id="rId6"/>
    <hyperlink ref="K11" r:id="rId7"/>
    <hyperlink ref="K12" r:id="rId8"/>
    <hyperlink ref="K13" r:id="rId9"/>
    <hyperlink ref="K14" r:id="rId10"/>
    <hyperlink ref="K15" r:id="rId11"/>
    <hyperlink ref="K16" r:id="rId12"/>
    <hyperlink ref="K17" r:id="rId13"/>
    <hyperlink ref="K18" r:id="rId14"/>
    <hyperlink ref="K19" r:id="rId15"/>
    <hyperlink ref="K20" r:id="rId16"/>
    <hyperlink ref="K21" r:id="rId17"/>
    <hyperlink ref="K22" r:id="rId18"/>
    <hyperlink ref="K23" r:id="rId19"/>
    <hyperlink ref="K24" r:id="rId20"/>
    <hyperlink ref="K25" r:id="rId21"/>
    <hyperlink ref="K26" r:id="rId22"/>
    <hyperlink ref="K27" r:id="rId23"/>
    <hyperlink ref="K28" r:id="rId24"/>
    <hyperlink ref="K29" r:id="rId25"/>
    <hyperlink ref="K30" r:id="rId26"/>
    <hyperlink ref="K31" r:id="rId27"/>
    <hyperlink ref="K32" r:id="rId28"/>
    <hyperlink ref="K33" r:id="rId29"/>
    <hyperlink ref="K34" r:id="rId30"/>
    <hyperlink ref="K35" r:id="rId31"/>
    <hyperlink ref="K36" r:id="rId32"/>
    <hyperlink ref="K37" r:id="rId33"/>
    <hyperlink ref="K38" r:id="rId34"/>
    <hyperlink ref="K39" r:id="rId35"/>
    <hyperlink ref="K40" r:id="rId36"/>
    <hyperlink ref="K41" r:id="rId37"/>
    <hyperlink ref="K42" r:id="rId38"/>
    <hyperlink ref="K43" r:id="rId39"/>
    <hyperlink ref="K44" r:id="rId40"/>
    <hyperlink ref="K45" r:id="rId41"/>
    <hyperlink ref="K46" r:id="rId42"/>
  </hyperlinks>
  <pageMargins left="0.4" right="0.4" top="0.5" bottom="0.5" header="0.3" footer="0.3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C3AED"/>
    <pageSetUpPr fitToPage="1"/>
  </sheetPr>
  <dimension ref="A1:O11"/>
  <sheetViews>
    <sheetView workbookViewId="0" showGridLines="0">
      <pane xSplit="1" ySplit="4" topLeftCell="B5" activePane="bottomRight" state="frozen"/>
      <selection pane="bottomRight" activeCell="B5" sqref="B5"/>
    </sheetView>
  </sheetViews>
  <sheetFormatPr defaultRowHeight="16"/>
  <cols>
    <col min="1" max="1" width="14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3" customWidth="1"/>
  </cols>
  <sheetData>
    <row r="1" ht="26" customHeight="1">
      <c r="A1" s="1" t="inlineStr">
        <is>
          <t>Best price per day</t>
        </is>
      </c>
    </row>
    <row r="2">
      <c r="A2" s="2" t="inlineStr">
        <is>
          <t>Cheapest in-stock vetted offer each UK day (item price). The build total only counts days with a price for every part.</t>
        </is>
      </c>
    </row>
    <row r="4" ht="30" customHeight="1">
      <c r="A4" s="3" t="inlineStr">
        <is>
          <t>Day</t>
        </is>
      </c>
      <c r="B4" s="5" t="inlineStr">
        <is>
          <t>CPU</t>
        </is>
      </c>
      <c r="C4" s="5" t="inlineStr">
        <is>
          <t>CPU cooler</t>
        </is>
      </c>
      <c r="D4" s="5" t="inlineStr">
        <is>
          <t>Motherboard</t>
        </is>
      </c>
      <c r="E4" s="5" t="inlineStr">
        <is>
          <t>RAM</t>
        </is>
      </c>
      <c r="F4" s="5" t="inlineStr">
        <is>
          <t>GPU</t>
        </is>
      </c>
      <c r="G4" s="5" t="inlineStr">
        <is>
          <t>SSD</t>
        </is>
      </c>
      <c r="H4" s="5" t="inlineStr">
        <is>
          <t>PSU</t>
        </is>
      </c>
      <c r="I4" s="5" t="inlineStr">
        <is>
          <t>Case</t>
        </is>
      </c>
      <c r="J4" s="5" t="inlineStr">
        <is>
          <t>Front screen</t>
        </is>
      </c>
      <c r="K4" s="5" t="inlineStr">
        <is>
          <t>Bottom fans</t>
        </is>
      </c>
      <c r="L4" s="5" t="inlineStr">
        <is>
          <t>Front/rear fans</t>
        </is>
      </c>
      <c r="M4" s="5" t="inlineStr">
        <is>
          <t>ARGB splitter</t>
        </is>
      </c>
      <c r="N4" s="5" t="inlineStr">
        <is>
          <t>Windows</t>
        </is>
      </c>
      <c r="O4" s="5" t="inlineStr">
        <is>
          <t>Build total</t>
        </is>
      </c>
    </row>
    <row r="5">
      <c r="A5" s="31">
        <v>46317.0</v>
      </c>
      <c r="B5" s="20">
        <v>205.99</v>
      </c>
      <c r="C5" s="20">
        <v>77.9</v>
      </c>
      <c r="D5" s="20">
        <v>169.99</v>
      </c>
      <c r="E5" s="20">
        <v>399.95</v>
      </c>
      <c r="F5" s="20">
        <v>749.99</v>
      </c>
      <c r="G5" s="20">
        <v>199.99</v>
      </c>
      <c r="H5" s="20">
        <v>89.99</v>
      </c>
      <c r="I5" s="20">
        <v>79.91</v>
      </c>
      <c r="J5" s="20">
        <v>36.9</v>
      </c>
      <c r="K5" s="20">
        <v>17.9</v>
      </c>
      <c r="L5" s="20">
        <v>18.49</v>
      </c>
      <c r="M5" s="20">
        <v>0.85</v>
      </c>
      <c r="N5" s="20">
        <v>119.99</v>
      </c>
      <c r="O5" s="21">
        <f>IF(COUNT(B5:N5)=13,SUM(B5:N5),"")</f>
        <v>2167.84</v>
      </c>
    </row>
    <row r="6">
      <c r="A6" s="31">
        <v>46318.0</v>
      </c>
      <c r="B6" s="20">
        <v>205.99</v>
      </c>
      <c r="C6" s="20">
        <v>77.9</v>
      </c>
      <c r="D6" s="20">
        <v>169.99</v>
      </c>
      <c r="E6" s="20">
        <v>399.95</v>
      </c>
      <c r="F6" s="20">
        <v>749.99</v>
      </c>
      <c r="G6" s="20">
        <v>199.99</v>
      </c>
      <c r="H6" s="20">
        <v>89.99</v>
      </c>
      <c r="I6" s="20">
        <v>79.91</v>
      </c>
      <c r="J6" s="20">
        <v>36.9</v>
      </c>
      <c r="K6" s="20">
        <v>17.9</v>
      </c>
      <c r="L6" s="20">
        <v>18.49</v>
      </c>
      <c r="M6" s="20">
        <v>0.85</v>
      </c>
      <c r="N6" s="20">
        <v>119.0</v>
      </c>
      <c r="O6" s="21">
        <f>IF(COUNT(B6:N6)=13,SUM(B6:N6),"")</f>
        <v>2166.85</v>
      </c>
    </row>
    <row r="7">
      <c r="A7" s="31">
        <v>46319.0</v>
      </c>
      <c r="B7" s="20">
        <v>205.99</v>
      </c>
      <c r="C7" s="20">
        <v>77.9</v>
      </c>
      <c r="D7" s="20">
        <v>169.99</v>
      </c>
      <c r="E7" s="20">
        <v>399.95</v>
      </c>
      <c r="F7" s="20">
        <v>749.99</v>
      </c>
      <c r="G7" s="20">
        <v>199.99</v>
      </c>
      <c r="H7" s="20">
        <v>89.99</v>
      </c>
      <c r="I7" s="20">
        <v>79.91</v>
      </c>
      <c r="J7" s="20">
        <v>36.9</v>
      </c>
      <c r="K7" s="20">
        <v>17.9</v>
      </c>
      <c r="L7" s="20">
        <v>18.49</v>
      </c>
      <c r="M7" s="20">
        <v>0.85</v>
      </c>
      <c r="N7" s="20">
        <v>119.0</v>
      </c>
      <c r="O7" s="21">
        <f>IF(COUNT(B7:N7)=13,SUM(B7:N7),"")</f>
        <v>2166.85</v>
      </c>
    </row>
    <row r="9">
      <c r="A9" s="6" t="inlineStr">
        <is>
          <t>Earlier plans</t>
        </is>
      </c>
    </row>
    <row r="10">
      <c r="A10" s="31">
        <v>46311.0</v>
      </c>
      <c r="B10" s="7" t="inlineStr">
        <is>
          <t>16 Oct sheet: Jonsbo Z20 small-form-factor plan (9 parts, no Windows)</t>
        </is>
      </c>
      <c r="O10" s="21">
        <v>2158.79</v>
      </c>
    </row>
    <row r="11">
      <c r="A11" s="31">
        <v>46317.0</v>
      </c>
      <c r="B11" s="7" t="inlineStr">
        <is>
          <t>22 Oct plan: all-black Jonsbo D33 build, 13 lines incl. Windows (£2,191.52 parts + £19.99 Overclockers UK delivery)</t>
        </is>
      </c>
      <c r="O11" s="21">
        <v>2211.51</v>
      </c>
    </row>
  </sheetData>
  <pageMargins left="0.4" right="0.4" top="0.5" bottom="0.5" header="0.3" footer="0.3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B45309"/>
    <pageSetUpPr fitToPage="1"/>
  </sheetPr>
  <dimension ref="A1:H13"/>
  <sheetViews>
    <sheetView workbookViewId="0" showGridLines="0"/>
  </sheetViews>
  <sheetFormatPr defaultRowHeight="16"/>
  <cols>
    <col min="1" max="1" width="14" customWidth="1"/>
    <col min="2" max="2" width="44" customWidth="1"/>
    <col min="3" max="3" width="11" customWidth="1"/>
    <col min="4" max="4" width="17" customWidth="1"/>
    <col min="5" max="5" width="12" customWidth="1"/>
    <col min="6" max="6" width="12" customWidth="1"/>
    <col min="7" max="7" width="9" customWidth="1"/>
    <col min="8" max="8" width="70" customWidth="1"/>
  </cols>
  <sheetData>
    <row r="1" ht="26" customHeight="1">
      <c r="A1" s="1" t="inlineStr">
        <is>
          <t>Swap ideas and optional upgrades</t>
        </is>
      </c>
    </row>
    <row r="2">
      <c r="A2" s="2" t="inlineStr">
        <is>
          <t>Swap ideas need your OK (Approve / Not for me on the live page); they must fit the case, match or beat the spec and save £10+ (colour swaps excepted). Upgrades are tracked for reference only.</t>
        </is>
      </c>
    </row>
    <row r="4">
      <c r="A4" s="6" t="inlineStr">
        <is>
          <t>Swap ideas waiting for your OK</t>
        </is>
      </c>
    </row>
    <row r="5">
      <c r="A5" s="3" t="inlineStr">
        <is>
          <t>Part</t>
        </is>
      </c>
      <c r="B5" s="3" t="inlineStr">
        <is>
          <t>Idea</t>
        </is>
      </c>
      <c r="C5" s="4" t="inlineStr">
        <is>
          <t>Price</t>
        </is>
      </c>
      <c r="D5" s="3" t="inlineStr">
        <is>
          <t>Shop</t>
        </is>
      </c>
      <c r="E5" s="3" t="inlineStr">
        <is>
          <t>Stock</t>
        </is>
      </c>
      <c r="F5" s="4" t="inlineStr">
        <is>
          <t>Saving</t>
        </is>
      </c>
      <c r="G5" s="3" t="inlineStr">
        <is>
          <t>Fits</t>
        </is>
      </c>
      <c r="H5" s="3" t="inlineStr">
        <is>
          <t>Why</t>
        </is>
      </c>
    </row>
    <row r="6">
      <c r="B6" s="10" t="inlineStr">
        <is>
          <t>None right now — the daily sweep adds ideas when something cheaper passes every rule.</t>
        </is>
      </c>
    </row>
    <row r="8">
      <c r="A8" s="6" t="inlineStr">
        <is>
          <t>Optional upgrades and alternatives (difference vs today's pick)</t>
        </is>
      </c>
    </row>
    <row r="9">
      <c r="A9" s="3" t="inlineStr">
        <is>
          <t>Part</t>
        </is>
      </c>
      <c r="B9" s="3" t="inlineStr">
        <is>
          <t>Option</t>
        </is>
      </c>
      <c r="C9" s="4" t="inlineStr">
        <is>
          <t>Price</t>
        </is>
      </c>
      <c r="D9" s="3" t="inlineStr">
        <is>
          <t>Shop</t>
        </is>
      </c>
      <c r="E9" s="3" t="inlineStr">
        <is>
          <t>Stock</t>
        </is>
      </c>
      <c r="F9" s="4" t="inlineStr">
        <is>
          <t>Difference</t>
        </is>
      </c>
      <c r="G9" s="3" t="inlineStr">
        <is>
          <t>Fits</t>
        </is>
      </c>
      <c r="H9" s="3" t="inlineStr">
        <is>
          <t>Why</t>
        </is>
      </c>
    </row>
    <row r="10">
      <c r="A10" s="9" t="inlineStr">
        <is>
          <t>CPU</t>
        </is>
      </c>
      <c r="B10" s="8" t="inlineStr">
        <is>
          <t>AMD Ryzen 7 7800X3D (8 cores)</t>
        </is>
      </c>
      <c r="C10" s="20">
        <v>338.99</v>
      </c>
      <c r="D10" s="7" t="inlineStr">
        <is>
          <t>Scan</t>
        </is>
      </c>
      <c r="E10" s="33" t="inlineStr">
        <is>
          <t>In stock</t>
        </is>
      </c>
      <c r="F10" s="13">
        <v>133.0</v>
      </c>
      <c r="G10" s="33" t="inlineStr">
        <is>
          <t>Yes</t>
        </is>
      </c>
      <c r="H10" s="11" t="inlineStr">
        <is>
          <t>Two more cores: faster in CPU-heavy games (BG3's Act 3, strategy, sims). At 4K on the TV the graphics card is usually the limit, so it's the upgrade to make only if the budget stretches.</t>
        </is>
      </c>
    </row>
    <row r="11">
      <c r="A11" s="9" t="inlineStr">
        <is>
          <t>SSD</t>
        </is>
      </c>
      <c r="B11" s="8" t="inlineStr">
        <is>
          <t>WD Black SN7100 2TB (TLC, PCIe 4.0)</t>
        </is>
      </c>
      <c r="C11" s="20">
        <v>271.6</v>
      </c>
      <c r="D11" s="7" t="inlineStr">
        <is>
          <t>Amazon UK</t>
        </is>
      </c>
      <c r="E11" s="33" t="inlineStr">
        <is>
          <t>In stock</t>
        </is>
      </c>
      <c r="F11" s="13">
        <v>71.61</v>
      </c>
      <c r="G11" s="33" t="inlineStr">
        <is>
          <t>Yes</t>
        </is>
      </c>
      <c r="H11" s="11" t="inlineStr">
        <is>
          <t>TLC flash: faster sustained writes and much higher endurance than the QLC Crucial. Nice to have, not needed for a games drive.</t>
        </is>
      </c>
    </row>
    <row r="12">
      <c r="A12" s="9" t="inlineStr">
        <is>
          <t>CPU cooler</t>
        </is>
      </c>
      <c r="B12" s="8" t="inlineStr">
        <is>
          <t>Thermalright Peerless Vision 360 ARGB, black (3.95" 480×480 LCD)</t>
        </is>
      </c>
      <c r="C12" s="20">
        <v>79.0</v>
      </c>
      <c r="D12" s="7" t="inlineStr">
        <is>
          <t>Computer Orbit</t>
        </is>
      </c>
      <c r="E12" s="33" t="inlineStr">
        <is>
          <t>In stock</t>
        </is>
      </c>
      <c r="F12" s="13">
        <v>1.1</v>
      </c>
      <c r="G12" s="33" t="inlineStr">
        <is>
          <t>Yes</t>
        </is>
      </c>
      <c r="H12" s="11" t="inlineStr">
        <is>
          <t>Same 397mm radiator, a bigger 3.95in square screen on the pump, and a few pounds cheaper at Computer Orbit. Different pump look from the photo, so it's your call.</t>
        </is>
      </c>
    </row>
    <row r="13">
      <c r="A13" s="9" t="inlineStr">
        <is>
          <t>GPU</t>
        </is>
      </c>
      <c r="B13" s="8" t="inlineStr">
        <is>
          <t>PowerColor Radeon RX 9070 XT Hellhound 16GB</t>
        </is>
      </c>
      <c r="C13" s="20">
        <v>899.99</v>
      </c>
      <c r="D13" s="7" t="inlineStr">
        <is>
          <t>Overclockers UK</t>
        </is>
      </c>
      <c r="E13" s="33" t="inlineStr">
        <is>
          <t>In stock</t>
        </is>
      </c>
      <c r="F13" s="13">
        <v>150.0</v>
      </c>
      <c r="G13" s="33" t="inlineStr">
        <is>
          <t>Yes</t>
        </is>
      </c>
      <c r="H13" s="11" t="inlineStr">
        <is>
          <t>Same chip and speed with a bigger, even quieter cooler. Only worth it if near-silence matters more than the extra cost.</t>
        </is>
      </c>
    </row>
  </sheetData>
  <hyperlinks>
    <hyperlink ref="D10" r:id="rId1"/>
    <hyperlink ref="D11" r:id="rId2"/>
    <hyperlink ref="D12" r:id="rId3"/>
    <hyperlink ref="D13" r:id="rId4"/>
  </hyperlinks>
  <pageMargins left="0.4" right="0.4" top="0.5" bottom="0.5" header="0.3" footer="0.3"/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891B2"/>
    <pageSetUpPr fitToPage="1"/>
  </sheetPr>
  <dimension ref="A1:E18"/>
  <sheetViews>
    <sheetView workbookViewId="0" showGridLines="0"/>
  </sheetViews>
  <sheetFormatPr defaultRowHeight="16"/>
  <cols>
    <col min="1" max="1" width="34" customWidth="1"/>
    <col min="2" max="2" width="14" customWidth="1"/>
    <col min="3" max="3" width="22" customWidth="1"/>
    <col min="4" max="4" width="12" customWidth="1"/>
    <col min="5" max="5" width="70" customWidth="1"/>
  </cols>
  <sheetData>
    <row r="1" ht="26" customHeight="1">
      <c r="A1" s="1" t="inlineStr">
        <is>
          <t>Fit check — Jonsbo D33 STD</t>
        </is>
      </c>
    </row>
    <row r="2">
      <c r="A2" s="2" t="inlineStr">
        <is>
          <t>Every part against the case and board limits, recalculated each run. Swap ideas must pass the same checks.</t>
        </is>
      </c>
    </row>
    <row r="4">
      <c r="A4" s="3" t="inlineStr">
        <is>
          <t>Check</t>
        </is>
      </c>
      <c r="B4" s="3" t="inlineStr">
        <is>
          <t>Value</t>
        </is>
      </c>
      <c r="C4" s="3" t="inlineStr">
        <is>
          <t>Limit</t>
        </is>
      </c>
      <c r="D4" s="3" t="inlineStr">
        <is>
          <t>Status</t>
        </is>
      </c>
      <c r="E4" s="3" t="inlineStr">
        <is>
          <t>Note</t>
        </is>
      </c>
    </row>
    <row r="5">
      <c r="A5" s="9" t="inlineStr">
        <is>
          <t>Top radiator size</t>
        </is>
      </c>
      <c r="B5" s="7" t="inlineStr">
        <is>
          <t>360 mm</t>
        </is>
      </c>
      <c r="C5" s="7" t="inlineStr">
        <is>
          <t>240 / 360 mm</t>
        </is>
      </c>
      <c r="D5" s="33" t="inlineStr">
        <is>
          <t>✓ OK</t>
        </is>
      </c>
      <c r="E5" s="11" t="inlineStr">
        <is>
          <t>AIO radiator in the top mount</t>
        </is>
      </c>
    </row>
    <row r="6">
      <c r="A6" s="9" t="inlineStr">
        <is>
          <t>RAM height</t>
        </is>
      </c>
      <c r="B6" s="7" t="inlineStr">
        <is>
          <t>33.2 mm</t>
        </is>
      </c>
      <c r="C6" s="7" t="inlineStr">
        <is>
          <t>≤ 43 mm</t>
        </is>
      </c>
      <c r="D6" s="33" t="inlineStr">
        <is>
          <t>✓ OK</t>
        </is>
      </c>
      <c r="E6" s="11"/>
    </row>
    <row r="7">
      <c r="A7" s="9" t="inlineStr">
        <is>
          <t>GPU length</t>
        </is>
      </c>
      <c r="B7" s="7" t="inlineStr">
        <is>
          <t>304 mm</t>
        </is>
      </c>
      <c r="C7" s="7" t="inlineStr">
        <is>
          <t>≤ 410 mm</t>
        </is>
      </c>
      <c r="D7" s="33" t="inlineStr">
        <is>
          <t>✓ OK</t>
        </is>
      </c>
      <c r="E7" s="11"/>
    </row>
    <row r="8">
      <c r="A8" s="9" t="inlineStr">
        <is>
          <t>GPU + bottom fan thickness</t>
        </is>
      </c>
      <c r="B8" s="7" t="inlineStr">
        <is>
          <t>67 mm</t>
        </is>
      </c>
      <c r="C8" s="7" t="inlineStr">
        <is>
          <t>≤ 95 mm</t>
        </is>
      </c>
      <c r="D8" s="33" t="inlineStr">
        <is>
          <t>✓ OK</t>
        </is>
      </c>
      <c r="E8" s="11" t="inlineStr">
        <is>
          <t>42mm card + 25mm bottom fans</t>
        </is>
      </c>
    </row>
    <row r="9">
      <c r="A9" s="9" t="inlineStr">
        <is>
          <t>PSU length</t>
        </is>
      </c>
      <c r="B9" s="7" t="inlineStr">
        <is>
          <t>140 mm</t>
        </is>
      </c>
      <c r="C9" s="7" t="inlineStr">
        <is>
          <t>≤ 160 mm</t>
        </is>
      </c>
      <c r="D9" s="33" t="inlineStr">
        <is>
          <t>✓ OK</t>
        </is>
      </c>
      <c r="E9" s="11"/>
    </row>
    <row r="10">
      <c r="A10" s="9" t="inlineStr">
        <is>
          <t>PSU wattage</t>
        </is>
      </c>
      <c r="B10" s="7" t="inlineStr">
        <is>
          <t>850 W</t>
        </is>
      </c>
      <c r="C10" s="7" t="inlineStr">
        <is>
          <t>≥ 850 W</t>
        </is>
      </c>
      <c r="D10" s="33" t="inlineStr">
        <is>
          <t>✓ OK</t>
        </is>
      </c>
      <c r="E10" s="11"/>
    </row>
    <row r="11">
      <c r="A11" s="9" t="inlineStr">
        <is>
          <t>Full-load draw vs PSU</t>
        </is>
      </c>
      <c r="B11" s="7" t="inlineStr">
        <is>
          <t>440W (52%)</t>
        </is>
      </c>
      <c r="C11" s="7" t="inlineStr">
        <is>
          <t>80%</t>
        </is>
      </c>
      <c r="D11" s="33" t="inlineStr">
        <is>
          <t>✓ OK</t>
        </is>
      </c>
      <c r="E11" s="11" t="inlineStr">
        <is>
          <t>Estimated whole-system draw at full load</t>
        </is>
      </c>
    </row>
    <row r="12">
      <c r="A12" s="9" t="inlineStr">
        <is>
          <t>Case fans</t>
        </is>
      </c>
      <c r="B12" s="7" t="inlineStr">
        <is>
          <t>6</t>
        </is>
      </c>
      <c r="C12" s="7" t="inlineStr">
        <is>
          <t>≤ 6</t>
        </is>
      </c>
      <c r="D12" s="33" t="inlineStr">
        <is>
          <t>✓ OK</t>
        </is>
      </c>
      <c r="E12" s="11"/>
    </row>
    <row r="13">
      <c r="A13" s="9" t="inlineStr">
        <is>
          <t>Motherboard size</t>
        </is>
      </c>
      <c r="B13" s="7" t="inlineStr">
        <is>
          <t>Micro-ATX</t>
        </is>
      </c>
      <c r="C13" s="7" t="inlineStr">
        <is>
          <t>Mini-ITX / Micro-ATX</t>
        </is>
      </c>
      <c r="D13" s="33" t="inlineStr">
        <is>
          <t>✓ OK</t>
        </is>
      </c>
      <c r="E13" s="11"/>
    </row>
    <row r="14">
      <c r="A14" s="9" t="inlineStr">
        <is>
          <t>USB 2.0 headers (screens)</t>
        </is>
      </c>
      <c r="B14" s="7" t="inlineStr">
        <is>
          <t>2</t>
        </is>
      </c>
      <c r="C14" s="7" t="inlineStr">
        <is>
          <t>≤ 2</t>
        </is>
      </c>
      <c r="D14" s="33" t="inlineStr">
        <is>
          <t>✓ OK</t>
        </is>
      </c>
      <c r="E14" s="11" t="inlineStr">
        <is>
          <t>The cooler's LCD and the front screen each take one</t>
        </is>
      </c>
    </row>
    <row r="15">
      <c r="A15" s="9" t="inlineStr">
        <is>
          <t>ARGB lighting groups</t>
        </is>
      </c>
      <c r="B15" s="7" t="inlineStr">
        <is>
          <t>4</t>
        </is>
      </c>
      <c r="C15" s="7" t="inlineStr">
        <is>
          <t>≤ 5</t>
        </is>
      </c>
      <c r="D15" s="33" t="inlineStr">
        <is>
          <t>✓ OK</t>
        </is>
      </c>
      <c r="E15" s="11" t="inlineStr">
        <is>
          <t>3 board headers + 2 from the splitter</t>
        </is>
      </c>
    </row>
    <row r="16">
      <c r="A16" s="9" t="inlineStr">
        <is>
          <t>Fan/pump headers</t>
        </is>
      </c>
      <c r="B16" s="7" t="inlineStr">
        <is>
          <t>5</t>
        </is>
      </c>
      <c r="C16" s="7" t="inlineStr">
        <is>
          <t>≤ 6</t>
        </is>
      </c>
      <c r="D16" s="33" t="inlineStr">
        <is>
          <t>✓ OK</t>
        </is>
      </c>
      <c r="E16" s="11"/>
    </row>
    <row r="18" ht="60" customHeight="1">
      <c r="A18" s="11" t="inlineStr">
        <is>
          <t>GPU length is 435mm without front fans; the two 25mm front fans make it about 410mm. 95mm = card thickness + bottom fan: Jonsbo quotes 117mm from the top slot, but the Mortar's x16 slot may sit one slot lower, so 95mm is used to be safe. PSU 160mm = the ATX front bay (an ATX PSU leaves room for 2×120mm front fans). The top takes a 240 or 360mm radiator. With an AIO there's no air-cooler limit on RAM; kits up to 43mm clear the radiator. Case fans: 3 bottom, 2 front, 1 rear; the top three mounts hold the radiator fans. Air-cooler limit if ever swapped: 172mm.</t>
        </is>
      </c>
    </row>
  </sheetData>
  <mergeCells count="1">
    <mergeCell ref="A18:E18"/>
  </mergeCells>
  <pageMargins left="0.4" right="0.4" top="0.5" bottom="0.5" header="0.3" footer="0.3"/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6B7280"/>
    <pageSetUpPr fitToPage="1"/>
  </sheetPr>
  <dimension ref="A1:B22"/>
  <sheetViews>
    <sheetView workbookViewId="0" showGridLines="0"/>
  </sheetViews>
  <sheetFormatPr defaultRowHeight="16"/>
  <cols>
    <col min="1" max="1" width="26" customWidth="1"/>
    <col min="2" max="2" width="100" customWidth="1"/>
  </cols>
  <sheetData>
    <row r="1" ht="26" customHeight="1">
      <c r="A1" s="1" t="inlineStr">
        <is>
          <t>How this spreadsheet stays current</t>
        </is>
      </c>
    </row>
    <row r="3">
      <c r="A3" s="9" t="inlineStr">
        <is>
          <t>Newest copy</t>
        </is>
      </c>
      <c r="B3" s="32" t="inlineStr">
        <is>
          <t>https://cybersecdigestdaily.github.io/arc/arc-build.xlsx</t>
        </is>
      </c>
    </row>
    <row r="4">
      <c r="A4" s="9" t="inlineStr">
        <is>
          <t>Live page</t>
        </is>
      </c>
      <c r="B4" s="32" t="inlineStr">
        <is>
          <t>https://cybersecdigestdaily.github.io/arc/</t>
        </is>
      </c>
    </row>
    <row r="5" ht="33" customHeight="1">
      <c r="A5" s="9" t="inlineStr">
        <is>
          <t>Live CSV (for Google Sheets)</t>
        </is>
      </c>
      <c r="B5" s="8" t="inlineStr">
        <is>
          <t>=IMPORTDATA("https://cybersecdigestdaily.github.io/arc/prices.csv") in any Google Sheet keeps a live copy</t>
        </is>
      </c>
    </row>
    <row r="6">
      <c r="A6" s="9" t="inlineStr">
        <is>
          <t>Updated</t>
        </is>
      </c>
      <c r="B6" s="8" t="inlineStr">
        <is>
          <t>Sat 24 Oct 2026, 18:21 UK</t>
        </is>
      </c>
    </row>
    <row r="7" ht="48" customHeight="1">
      <c r="A7" s="9" t="inlineStr">
        <is>
          <t>Price checks</t>
        </is>
      </c>
      <c r="B7" s="8" t="inlineStr">
        <is>
          <t>GitHub Actions re-reads PriceSpy UK (every UK shop's price, stock and delivery) and the shops' own pages about 4× a day (07:07, 11:07, 15:07, 19:07 UK) and after every change to the build, then rebuilds this file.</t>
        </is>
      </c>
    </row>
    <row r="8" ht="63" customHeight="1">
      <c r="A8" s="9" t="inlineStr">
        <is>
          <t>Amazon check</t>
        </is>
      </c>
      <c r="B8" s="8" t="inlineStr">
        <is>
          <t>Amazon blocks automated checks from the cloud, so a scheduled task on your computer (07:21 UK, built-in browser) re-reads every Amazon Prime listing with delivery set to an NI postcode and adds cheaper Prime finds. If the computer is off, Amazon prices age out after 3 days and the basket falls back to the next cheapest shop.</t>
        </is>
      </c>
    </row>
    <row r="9" ht="33" customHeight="1">
      <c r="A9" s="9" t="inlineStr">
        <is>
          <t>Daily sweep</t>
        </is>
      </c>
      <c r="B9" s="8" t="inlineStr">
        <is>
          <t>A Claude scheduled task at 07:46 UK re-verifies shops that block automated checks (Scan, Watercooling UK, CCL), vets new shops' NI delivery, applies your page buttons and proposes swaps.</t>
        </is>
      </c>
    </row>
    <row r="10" ht="78" customHeight="1">
      <c r="A10" s="9" t="inlineStr">
        <is>
          <t>Rules</t>
        </is>
      </c>
      <c r="B10" s="8" t="inlineStr">
        <is>
          <t>UK shops that deliver to Northern Ireland only · new stock only (no marketplaces, used or refurbished) · Amazon counts when sold by Amazon or dispatched by Amazon (Prime) with free NI delivery · picks = the cheapest basket (item prices + one NI delivery per shop, free-delivery thresholds applied) · all-black parts · a different model is only ever a suggestion until you approve it, and must fit the case, match or beat the spec and save £10+.</t>
        </is>
      </c>
    </row>
    <row r="11" ht="33" customHeight="1">
      <c r="A11" s="9" t="inlineStr">
        <is>
          <t>Editing</t>
        </is>
      </c>
      <c r="B11" s="8" t="inlineStr">
        <is>
          <t>Edit the blue cells (budgets) freely; everything else is rebuilt from the live data, so download a fresh copy rather than keeping edits here. Mark parts bought with the live page's Bought it button.</t>
        </is>
      </c>
    </row>
    <row r="13">
      <c r="A13" s="6" t="inlineStr">
        <is>
          <t>How the build got here</t>
        </is>
      </c>
    </row>
    <row r="14">
      <c r="A14" s="10" t="inlineStr">
        <is>
          <t>16 Oct 2026</t>
        </is>
      </c>
      <c r="B14" s="7" t="inlineStr">
        <is>
          <t>16 Oct sheet: Jonsbo Z20 small-form-factor plan (9 parts, no Windows) — £2,158.79</t>
        </is>
      </c>
    </row>
    <row r="15">
      <c r="A15" s="10" t="inlineStr">
        <is>
          <t>22 Oct 2026</t>
        </is>
      </c>
      <c r="B15" s="7" t="inlineStr">
        <is>
          <t>22 Oct plan: all-black Jonsbo D33 build, 13 lines incl. Windows (£2,191.52 parts + £19.99 Overclockers UK delivery) — £2,211.51</t>
        </is>
      </c>
    </row>
    <row r="16" ht="48" customHeight="1">
      <c r="B16" s="8" t="inlineStr">
        <is>
          <t>• Amazon Prime counts (22 Oct, evening): items sold by a third party but dispatched by Amazon with free delivery to NI are now in. The cooler (£77.90), front screen (£36.90, the only one in stock) and both fan packs (£17.90 and £18.49) move to Amazon Prime.</t>
        </is>
      </c>
    </row>
    <row r="17">
      <c r="B17" s="8" t="inlineStr">
        <is>
          <t>• PSU: same Corsair RM850e (2025), now £89.99 sold by Amazon (plan £98.99).</t>
        </is>
      </c>
    </row>
    <row r="18">
      <c r="B18" s="8" t="inlineStr">
        <is>
          <t>• RAM: KLEVV FIT V black CL28 instead of CL30, same 33mm height, for 96p more at Overclockers UK.</t>
        </is>
      </c>
    </row>
    <row r="19" ht="33" customHeight="1">
      <c r="B19" s="8" t="inlineStr">
        <is>
          <t>• ARGB splitter: Kolink 1-to-3 at £0.85, added to the Overclockers UK GPU/RAM order (£6.99 on its own at Amazon).</t>
        </is>
      </c>
    </row>
    <row r="20" ht="48" customHeight="1">
      <c r="B20" s="8" t="inlineStr">
        <is>
          <t>• GPU: kept the PowerColor Reaper at £749.99. It ties the ASUS Prime OC and ASRock Challenger OC as the cheapest RX 9070 XT at a vetted UK shop and runs coolest. The XFX Swift is £727.98 on Prime, but it's a ~3.5-slot card that may not clear the bottom fans, so it isn't suggested.</t>
        </is>
      </c>
    </row>
    <row r="21" ht="33" customHeight="1">
      <c r="B21" s="8" t="inlineStr">
        <is>
          <t>• Kept: Ryzen 5 7500X3D (Amazon £205.99), MSI B850M Mortar WiFi £169.99, Crucial P310 2TB £199.99, Jonsbo D33 black £79.91 (Watercooling UK; not on Amazon UK), Windows 11 Home £119.99.</t>
        </is>
      </c>
    </row>
    <row r="22">
      <c r="B22" s="8" t="inlineStr">
        <is>
          <t>• Totals are now the cheapest basket: one NI delivery per shop, with free-delivery thresholds applied.</t>
        </is>
      </c>
    </row>
  </sheetData>
  <hyperlinks>
    <hyperlink ref="B3" r:id="rId1"/>
    <hyperlink ref="B4" r:id="rId2"/>
    <hyperlink ref="B5" r:id="rId3"/>
  </hyperlinks>
  <pageMargins left="0.4" right="0.4" top="0.5" bottom="0.5" header="0.3" footer="0.3"/>
  <pageSetup paperSize="9" orientation="landscape" fitToWidth="1" fitToHeight="0"/>
</worksheet>
</file>

<file path=docProps/app.xml><?xml version="1.0" encoding="utf-8"?>
<Properties xmlns="http://schemas.openxmlformats.org/officeDocument/2006/extended-properties">
  <Application>ARC price checker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ARC build</dc:title>
  <dc:creator>ARC price checker</dc:creator>
  <dcterms:created xsi:type="dcterms:W3CDTF">2026-10-24T17:21:22Z</dcterms:created>
  <dcterms:modified xsi:type="dcterms:W3CDTF">2026-10-24T17:21:22Z</dcterms:modified>
</cp:coreProperties>
</file>